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50"/>
  </bookViews>
  <sheets>
    <sheet name="Sayfa1" sheetId="1" r:id="rId1"/>
  </sheets>
  <definedNames>
    <definedName name="ŞAKİR">Sayfa1!$K$8</definedName>
  </definedNames>
  <calcPr calcId="152511"/>
</workbook>
</file>

<file path=xl/calcChain.xml><?xml version="1.0" encoding="utf-8"?>
<calcChain xmlns="http://schemas.openxmlformats.org/spreadsheetml/2006/main">
  <c r="K8" i="1" l="1"/>
  <c r="K35" i="1" l="1"/>
  <c r="K33" i="1" l="1"/>
  <c r="K7" i="1"/>
  <c r="K32" i="1" l="1"/>
  <c r="K25" i="1"/>
  <c r="K24" i="1"/>
  <c r="K27" i="1"/>
  <c r="K26" i="1"/>
  <c r="K29" i="1"/>
  <c r="K28" i="1"/>
  <c r="K30" i="1"/>
  <c r="K31" i="1"/>
  <c r="K23" i="1"/>
  <c r="K22" i="1"/>
  <c r="K34" i="1"/>
  <c r="K21" i="1" l="1"/>
  <c r="K20" i="1"/>
  <c r="K19" i="1"/>
  <c r="K18" i="1"/>
  <c r="K38" i="1"/>
  <c r="K39" i="1"/>
  <c r="K37" i="1"/>
  <c r="K36" i="1"/>
  <c r="K55" i="1" l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17" i="1"/>
  <c r="K16" i="1"/>
  <c r="K15" i="1"/>
  <c r="K14" i="1"/>
  <c r="K13" i="1"/>
  <c r="K12" i="1"/>
  <c r="K11" i="1"/>
  <c r="K10" i="1"/>
  <c r="K9" i="1"/>
  <c r="K6" i="1"/>
  <c r="K63" i="1" l="1"/>
</calcChain>
</file>

<file path=xl/sharedStrings.xml><?xml version="1.0" encoding="utf-8"?>
<sst xmlns="http://schemas.openxmlformats.org/spreadsheetml/2006/main" count="201" uniqueCount="89">
  <si>
    <t>BAŞ ZİNCİR GÜNLÜK ÜRETİM TAKİP RAPORU</t>
  </si>
  <si>
    <t>TAKIM</t>
  </si>
  <si>
    <t>VARDİYA</t>
  </si>
  <si>
    <t>ZİNCİR ve MALZEME ADI</t>
  </si>
  <si>
    <t>MİKTAR (Adet)</t>
  </si>
  <si>
    <t>OPERATÖR</t>
  </si>
  <si>
    <t>BAKLA
AĞIRLIĞI (GR)</t>
  </si>
  <si>
    <t>1. TAKIM</t>
  </si>
  <si>
    <t>GÜNDÜZ</t>
  </si>
  <si>
    <t>GECE</t>
  </si>
  <si>
    <t>2. TAKIM</t>
  </si>
  <si>
    <t>3. TAKIM</t>
  </si>
  <si>
    <t>4. TAKIM</t>
  </si>
  <si>
    <t>5. TAKIM</t>
  </si>
  <si>
    <t>6. TAKIM</t>
  </si>
  <si>
    <t>7. TAKIM</t>
  </si>
  <si>
    <t>8. TAKIM</t>
  </si>
  <si>
    <t>9. TAKIM</t>
  </si>
  <si>
    <t>10. TAKIM</t>
  </si>
  <si>
    <t>11. TAKIM</t>
  </si>
  <si>
    <t>TEL ÇEKME</t>
  </si>
  <si>
    <t>İNDİKSİYON</t>
  </si>
  <si>
    <t>BOYAMA</t>
  </si>
  <si>
    <t>YOKLAMA</t>
  </si>
  <si>
    <t>MEYDAN</t>
  </si>
  <si>
    <t>12. TAKIM</t>
  </si>
  <si>
    <t>SPANZET</t>
  </si>
  <si>
    <t>1. MAKİNA</t>
  </si>
  <si>
    <t>2. MAKİNA</t>
  </si>
  <si>
    <t>12 MM SPANZET</t>
  </si>
  <si>
    <t>FATİH DOĞRU</t>
  </si>
  <si>
    <t>SİPARİŞ HAZIRLAMA, PAKETLEME</t>
  </si>
  <si>
    <t>BAKLA ADETİ</t>
  </si>
  <si>
    <t xml:space="preserve">TOPLAM ÜRETİM: </t>
  </si>
  <si>
    <t>KG.</t>
  </si>
  <si>
    <t>10X40 MM NORMAL ZİNCİR</t>
  </si>
  <si>
    <t>SEDAT BALCI</t>
  </si>
  <si>
    <t>6X24 MM NORMAL ZİNCİR</t>
  </si>
  <si>
    <t>8X32 MM NORMAL ZİNCİR</t>
  </si>
  <si>
    <t>KASAP
ÇENGELİ</t>
  </si>
  <si>
    <t>6X18,5X8 MM KALİBRE ZİNCİR</t>
  </si>
  <si>
    <t>13. TAKIM</t>
  </si>
  <si>
    <t>14. TAKIM</t>
  </si>
  <si>
    <t>15. TAKIM</t>
  </si>
  <si>
    <t>16. TAKIM</t>
  </si>
  <si>
    <t>17. TAKIM</t>
  </si>
  <si>
    <t>18. TAKIM</t>
  </si>
  <si>
    <t>19. TAKIM</t>
  </si>
  <si>
    <t>20. TAKIM</t>
  </si>
  <si>
    <t>21. TAKIM</t>
  </si>
  <si>
    <t>22. TAKIM</t>
  </si>
  <si>
    <t>7X22 MM KALİBRE ZİNCİR</t>
  </si>
  <si>
    <t>TOPLAM ÜRETİM</t>
  </si>
  <si>
    <t>5X18,5 MM KALİBRE ZİNCİR</t>
  </si>
  <si>
    <t>OZAN TÜZÜN</t>
  </si>
  <si>
    <t>MEHMET KAVRIK</t>
  </si>
  <si>
    <t>8X24 MM KALİBRE ÇELİK BAKLALI ZİNCİR</t>
  </si>
  <si>
    <t>6X18,5 MM KALİBRE ZİNCİR</t>
  </si>
  <si>
    <t>8X32 MM KALİBRE ZİNCİR</t>
  </si>
  <si>
    <t>10 MM SPANZET</t>
  </si>
  <si>
    <t>10X65 MM UZUN BAKLALI ZİNCİR</t>
  </si>
  <si>
    <t>13X36 MM KALİBRE ÇELİK BAKLALI ZİNCİR</t>
  </si>
  <si>
    <t>EKREM ÜNAL</t>
  </si>
  <si>
    <t>SÜLEYMAN AK</t>
  </si>
  <si>
    <t>6X24 MM NORMAL KALİBRE ZİNCİR</t>
  </si>
  <si>
    <t>10X40 MM KALİBRE ZİNCİR</t>
  </si>
  <si>
    <t>4X32 MM KALİBRE ZİNCİR</t>
  </si>
  <si>
    <t>TUNCAY ÜSTÜNEL</t>
  </si>
  <si>
    <t>4X16 MM KALİBRE ZİNCİR</t>
  </si>
  <si>
    <t>5X21 MM KALİBRE ZİNCİR</t>
  </si>
  <si>
    <t>ÇAĞLAR BABACAN</t>
  </si>
  <si>
    <t>12X36 MM KALİBRE ÇELİK BAKLALI ZİNCİR</t>
  </si>
  <si>
    <t>20X83X40 MM ZİNCİR</t>
  </si>
  <si>
    <t>UMUT YİGEN</t>
  </si>
  <si>
    <t>10X30 MM KALİBRE ÇELİK BAKLALI ZİNCİR</t>
  </si>
  <si>
    <t>EMİRCAN AKYAR</t>
  </si>
  <si>
    <t>9X27 MM KALİBRE ÇELİK BAKLALI ZİNCİR</t>
  </si>
  <si>
    <t>14X50 MM KALİBRE ÇELİK BAKLALI ZİNCİR</t>
  </si>
  <si>
    <t>18X64 MM KALİBRE ÇELİK BAKLALI ZİNCİR</t>
  </si>
  <si>
    <t>HÜSEYİN BIYIK</t>
  </si>
  <si>
    <t>MURAT TOPRAK
BİLAL KAVRIK
BİROL GÜMÜŞ</t>
  </si>
  <si>
    <t>OĞUZHAN SARIKAYA</t>
  </si>
  <si>
    <t>9 MM 20MnB4 - 1 BAĞ
10 MM 20MnB4 - 1 BAĞ</t>
  </si>
  <si>
    <t>13 MM 20MnB4 - 2 BAĞ
18 MM 20MnB4 - 2 BAĞ</t>
  </si>
  <si>
    <t>HÜSEYİN YURTTAŞ VE ALPER YİĞİT YILLIK İZİNDE. UMUT YİGEN İZİNLİ.</t>
  </si>
  <si>
    <t>TORNADA PARÇA YAPILDI</t>
  </si>
  <si>
    <t>MALAFA BEKLİYOR</t>
  </si>
  <si>
    <t>TORNADAN PARÇA BEKLEDİ</t>
  </si>
  <si>
    <t>KOMPRESÖR ARIZASI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</si>
</sst>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_ ;\-#,##0\ "/>
  </numFmts>
  <fonts count="32">
    <font>
      <sz val="11"/>
      <color theme="1"/>
      <name val="Calibri"/>
      <family val="2"/>
      <scheme val="minor"/>
    </font>
    <font>
      <b/>
      <sz val="20"/>
      <color rgb="FFFF0000"/>
      <name val="Arial"/>
      <family val="2"/>
      <charset val="162"/>
    </font>
    <font>
      <sz val="10"/>
      <name val="Arial"/>
      <family val="2"/>
      <charset val="162"/>
    </font>
    <font>
      <i/>
      <sz val="10"/>
      <color theme="1"/>
      <name val="Arial"/>
      <family val="2"/>
      <charset val="162"/>
    </font>
    <font>
      <b/>
      <sz val="14"/>
      <color rgb="FFFF0000"/>
      <name val="Arial"/>
      <family val="2"/>
      <charset val="162"/>
    </font>
    <font>
      <sz val="10"/>
      <color rgb="FF000000"/>
      <name val="Arial"/>
      <family val="2"/>
      <charset val="162"/>
    </font>
    <font>
      <b/>
      <sz val="10"/>
      <color rgb="FF000000"/>
      <name val="&quot;Book Antiqua&quot;"/>
    </font>
    <font>
      <sz val="10"/>
      <color rgb="FF000000"/>
      <name val="&quot;Book Antiqua&quot;"/>
    </font>
    <font>
      <b/>
      <sz val="11"/>
      <color rgb="FF000000"/>
      <name val="Arial"/>
      <family val="2"/>
      <charset val="162"/>
    </font>
    <font>
      <b/>
      <sz val="8"/>
      <color rgb="FF000000"/>
      <name val="Arial"/>
      <family val="2"/>
      <charset val="162"/>
    </font>
    <font>
      <b/>
      <sz val="10"/>
      <color rgb="FF000000"/>
      <name val="Arial"/>
      <family val="2"/>
      <charset val="162"/>
    </font>
    <font>
      <b/>
      <sz val="7"/>
      <color rgb="FF000000"/>
      <name val="Arial"/>
      <family val="2"/>
      <charset val="162"/>
    </font>
    <font>
      <b/>
      <i/>
      <sz val="10"/>
      <color rgb="FF000000"/>
      <name val="Arial"/>
      <family val="2"/>
      <charset val="162"/>
    </font>
    <font>
      <i/>
      <sz val="10"/>
      <color rgb="FF000000"/>
      <name val="Arial"/>
      <family val="2"/>
      <charset val="162"/>
    </font>
    <font>
      <sz val="11"/>
      <color rgb="FF000000"/>
      <name val="Arial"/>
      <family val="2"/>
      <charset val="162"/>
    </font>
    <font>
      <b/>
      <i/>
      <sz val="12"/>
      <color rgb="FF000000"/>
      <name val="Arial"/>
      <family val="2"/>
      <charset val="162"/>
    </font>
    <font>
      <sz val="12"/>
      <color rgb="FF000000"/>
      <name val="Arial"/>
      <family val="2"/>
      <charset val="162"/>
    </font>
    <font>
      <b/>
      <sz val="10"/>
      <color theme="1"/>
      <name val="&quot;Book Antiqua&quot;"/>
    </font>
    <font>
      <b/>
      <i/>
      <sz val="10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i/>
      <sz val="12"/>
      <color theme="1"/>
      <name val="Arial"/>
      <family val="2"/>
      <charset val="162"/>
    </font>
    <font>
      <b/>
      <i/>
      <sz val="10"/>
      <name val="Arial"/>
      <family val="2"/>
      <charset val="162"/>
    </font>
    <font>
      <sz val="8"/>
      <color rgb="FF000000"/>
      <name val="Arial"/>
      <family val="2"/>
      <charset val="162"/>
    </font>
    <font>
      <sz val="8"/>
      <color theme="1"/>
      <name val="Arial"/>
      <family val="2"/>
      <charset val="162"/>
    </font>
    <font>
      <sz val="7.5"/>
      <color rgb="FF000000"/>
      <name val="Arial"/>
      <family val="2"/>
      <charset val="162"/>
    </font>
    <font>
      <b/>
      <sz val="15"/>
      <color rgb="FF000000"/>
      <name val="Arial"/>
      <family val="2"/>
      <charset val="162"/>
    </font>
    <font>
      <b/>
      <sz val="10"/>
      <name val="Arial"/>
      <family val="2"/>
      <charset val="162"/>
    </font>
    <font>
      <sz val="9"/>
      <color rgb="FFFF0000"/>
      <name val="Calibri"/>
      <family val="2"/>
      <scheme val="minor"/>
    </font>
    <font>
      <sz val="7"/>
      <color rgb="FF000000"/>
      <name val="Arial"/>
      <family val="2"/>
      <charset val="162"/>
    </font>
    <font>
      <b/>
      <sz val="10"/>
      <color rgb="FFFF0000"/>
      <name val="Arial"/>
      <family val="2"/>
      <charset val="162"/>
    </font>
    <font>
      <sz val="11"/>
      <color rgb="FFFF0000"/>
      <name val="Arial"/>
      <family val="2"/>
      <charset val="162"/>
    </font>
    <font>
      <b/>
      <sz val="11"/>
      <color theme="1"/>
      <name val="Arial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CCCC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rgb="FFCCCCCC"/>
      </patternFill>
    </fill>
    <fill>
      <patternFill patternType="solid">
        <fgColor theme="0" tint="-0.249977111117893"/>
        <bgColor rgb="FFFFFFFF"/>
      </patternFill>
    </fill>
    <fill>
      <patternFill patternType="solid">
        <fgColor theme="0"/>
        <bgColor rgb="FFFFFFFF"/>
      </patternFill>
    </fill>
  </fills>
  <borders count="3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28">
    <xf numFmtId="0" fontId="0" fillId="0" borderId="0" xfId="0"/>
    <xf numFmtId="0" fontId="5" fillId="0" borderId="6" xfId="0" applyFont="1" applyFill="1" applyBorder="1" applyAlignment="1">
      <alignment vertical="center"/>
    </xf>
    <xf numFmtId="0" fontId="12" fillId="0" borderId="6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12" xfId="0" applyFont="1" applyFill="1" applyBorder="1" applyAlignment="1">
      <alignment vertical="center"/>
    </xf>
    <xf numFmtId="0" fontId="12" fillId="0" borderId="5" xfId="0" applyFont="1" applyFill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vertical="center"/>
    </xf>
    <xf numFmtId="0" fontId="3" fillId="3" borderId="12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vertical="center"/>
    </xf>
    <xf numFmtId="0" fontId="12" fillId="6" borderId="5" xfId="0" applyFont="1" applyFill="1" applyBorder="1" applyAlignment="1">
      <alignment vertical="center"/>
    </xf>
    <xf numFmtId="0" fontId="12" fillId="4" borderId="6" xfId="0" applyFont="1" applyFill="1" applyBorder="1" applyAlignment="1">
      <alignment vertical="center"/>
    </xf>
    <xf numFmtId="0" fontId="3" fillId="4" borderId="12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vertical="center"/>
    </xf>
    <xf numFmtId="0" fontId="18" fillId="3" borderId="6" xfId="0" applyFont="1" applyFill="1" applyBorder="1" applyAlignment="1">
      <alignment vertical="center"/>
    </xf>
    <xf numFmtId="0" fontId="19" fillId="3" borderId="12" xfId="0" applyFont="1" applyFill="1" applyBorder="1" applyAlignment="1">
      <alignment vertical="center"/>
    </xf>
    <xf numFmtId="0" fontId="12" fillId="3" borderId="12" xfId="0" applyFont="1" applyFill="1" applyBorder="1" applyAlignment="1">
      <alignment vertical="center"/>
    </xf>
    <xf numFmtId="3" fontId="15" fillId="7" borderId="12" xfId="0" applyNumberFormat="1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20" xfId="0" applyFont="1" applyFill="1" applyBorder="1" applyAlignment="1">
      <alignment horizontal="center" vertical="center"/>
    </xf>
    <xf numFmtId="3" fontId="5" fillId="5" borderId="6" xfId="0" applyNumberFormat="1" applyFont="1" applyFill="1" applyBorder="1" applyAlignment="1">
      <alignment vertical="center"/>
    </xf>
    <xf numFmtId="0" fontId="5" fillId="3" borderId="12" xfId="0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center"/>
    </xf>
    <xf numFmtId="0" fontId="22" fillId="6" borderId="6" xfId="0" applyFont="1" applyFill="1" applyBorder="1" applyAlignment="1">
      <alignment horizontal="center" vertical="center"/>
    </xf>
    <xf numFmtId="0" fontId="23" fillId="3" borderId="6" xfId="0" applyFont="1" applyFill="1" applyBorder="1" applyAlignment="1">
      <alignment horizontal="center" vertical="center"/>
    </xf>
    <xf numFmtId="0" fontId="22" fillId="3" borderId="1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1" fillId="0" borderId="8" xfId="0" applyFont="1" applyFill="1" applyBorder="1" applyAlignment="1">
      <alignment horizontal="center" vertical="center"/>
    </xf>
    <xf numFmtId="0" fontId="22" fillId="6" borderId="12" xfId="0" applyFont="1" applyFill="1" applyBorder="1" applyAlignment="1">
      <alignment horizontal="center" vertical="center" wrapText="1"/>
    </xf>
    <xf numFmtId="0" fontId="22" fillId="5" borderId="12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3" fontId="15" fillId="8" borderId="12" xfId="0" applyNumberFormat="1" applyFont="1" applyFill="1" applyBorder="1" applyAlignment="1">
      <alignment horizontal="center" vertical="center"/>
    </xf>
    <xf numFmtId="0" fontId="12" fillId="5" borderId="20" xfId="0" applyFont="1" applyFill="1" applyBorder="1" applyAlignment="1">
      <alignment horizontal="center" vertical="center"/>
    </xf>
    <xf numFmtId="3" fontId="5" fillId="6" borderId="6" xfId="0" applyNumberFormat="1" applyFont="1" applyFill="1" applyBorder="1" applyAlignment="1">
      <alignment vertical="center"/>
    </xf>
    <xf numFmtId="0" fontId="10" fillId="5" borderId="10" xfId="0" applyFont="1" applyFill="1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3" fontId="15" fillId="5" borderId="6" xfId="0" applyNumberFormat="1" applyFont="1" applyFill="1" applyBorder="1" applyAlignment="1">
      <alignment horizontal="center" vertical="center"/>
    </xf>
    <xf numFmtId="0" fontId="24" fillId="5" borderId="12" xfId="0" applyFont="1" applyFill="1" applyBorder="1" applyAlignment="1">
      <alignment horizontal="center" vertical="center" wrapText="1"/>
    </xf>
    <xf numFmtId="0" fontId="12" fillId="5" borderId="33" xfId="0" applyFont="1" applyFill="1" applyBorder="1" applyAlignment="1">
      <alignment horizontal="center" vertical="center"/>
    </xf>
    <xf numFmtId="0" fontId="22" fillId="4" borderId="12" xfId="0" applyFont="1" applyFill="1" applyBorder="1" applyAlignment="1">
      <alignment horizontal="center" vertical="center" wrapText="1"/>
    </xf>
    <xf numFmtId="0" fontId="22" fillId="6" borderId="1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3" fontId="5" fillId="0" borderId="0" xfId="0" applyNumberFormat="1" applyFont="1" applyFill="1" applyBorder="1" applyAlignment="1">
      <alignment horizontal="right" vertical="center"/>
    </xf>
    <xf numFmtId="0" fontId="28" fillId="0" borderId="12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vertical="center"/>
    </xf>
    <xf numFmtId="0" fontId="28" fillId="5" borderId="12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/>
    </xf>
    <xf numFmtId="0" fontId="0" fillId="5" borderId="0" xfId="0" applyFill="1"/>
    <xf numFmtId="0" fontId="12" fillId="5" borderId="6" xfId="0" applyFont="1" applyFill="1" applyBorder="1" applyAlignment="1">
      <alignment vertical="center"/>
    </xf>
    <xf numFmtId="0" fontId="22" fillId="5" borderId="6" xfId="0" applyFont="1" applyFill="1" applyBorder="1" applyAlignment="1">
      <alignment horizontal="center" vertical="center"/>
    </xf>
    <xf numFmtId="3" fontId="25" fillId="5" borderId="10" xfId="0" applyNumberFormat="1" applyFont="1" applyFill="1" applyBorder="1" applyAlignment="1">
      <alignment vertical="center"/>
    </xf>
    <xf numFmtId="0" fontId="12" fillId="3" borderId="5" xfId="0" applyFont="1" applyFill="1" applyBorder="1" applyAlignment="1">
      <alignment vertical="center"/>
    </xf>
    <xf numFmtId="0" fontId="28" fillId="3" borderId="12" xfId="0" applyFont="1" applyFill="1" applyBorder="1" applyAlignment="1">
      <alignment horizontal="center" vertical="center" wrapText="1"/>
    </xf>
    <xf numFmtId="0" fontId="12" fillId="3" borderId="31" xfId="0" applyFont="1" applyFill="1" applyBorder="1" applyAlignment="1">
      <alignment horizontal="left" vertical="center"/>
    </xf>
    <xf numFmtId="0" fontId="26" fillId="3" borderId="12" xfId="0" applyFont="1" applyFill="1" applyBorder="1" applyAlignment="1">
      <alignment vertical="center"/>
    </xf>
    <xf numFmtId="3" fontId="15" fillId="7" borderId="5" xfId="0" applyNumberFormat="1" applyFont="1" applyFill="1" applyBorder="1" applyAlignment="1">
      <alignment horizontal="center" vertical="center"/>
    </xf>
    <xf numFmtId="3" fontId="15" fillId="8" borderId="5" xfId="0" applyNumberFormat="1" applyFont="1" applyFill="1" applyBorder="1" applyAlignment="1">
      <alignment horizontal="center" vertical="center"/>
    </xf>
    <xf numFmtId="3" fontId="15" fillId="6" borderId="5" xfId="0" applyNumberFormat="1" applyFont="1" applyFill="1" applyBorder="1" applyAlignment="1">
      <alignment horizontal="center" vertical="center"/>
    </xf>
    <xf numFmtId="3" fontId="15" fillId="4" borderId="5" xfId="0" applyNumberFormat="1" applyFont="1" applyFill="1" applyBorder="1" applyAlignment="1">
      <alignment horizontal="center" vertical="center"/>
    </xf>
    <xf numFmtId="3" fontId="20" fillId="7" borderId="5" xfId="0" applyNumberFormat="1" applyFont="1" applyFill="1" applyBorder="1" applyAlignment="1">
      <alignment horizontal="center" vertical="center"/>
    </xf>
    <xf numFmtId="165" fontId="15" fillId="4" borderId="5" xfId="0" applyNumberFormat="1" applyFont="1" applyFill="1" applyBorder="1" applyAlignment="1">
      <alignment horizontal="center" vertical="center"/>
    </xf>
    <xf numFmtId="3" fontId="15" fillId="2" borderId="5" xfId="0" applyNumberFormat="1" applyFont="1" applyFill="1" applyBorder="1" applyAlignment="1">
      <alignment horizontal="center" vertical="center"/>
    </xf>
    <xf numFmtId="3" fontId="15" fillId="7" borderId="17" xfId="0" applyNumberFormat="1" applyFont="1" applyFill="1" applyBorder="1" applyAlignment="1">
      <alignment horizontal="center" vertical="center"/>
    </xf>
    <xf numFmtId="3" fontId="15" fillId="8" borderId="17" xfId="0" applyNumberFormat="1" applyFont="1" applyFill="1" applyBorder="1" applyAlignment="1">
      <alignment horizontal="center" vertical="center"/>
    </xf>
    <xf numFmtId="0" fontId="0" fillId="0" borderId="12" xfId="0" applyBorder="1"/>
    <xf numFmtId="3" fontId="4" fillId="5" borderId="12" xfId="0" applyNumberFormat="1" applyFont="1" applyFill="1" applyBorder="1" applyAlignment="1">
      <alignment horizontal="right" vertical="center"/>
    </xf>
    <xf numFmtId="0" fontId="4" fillId="5" borderId="12" xfId="0" applyFont="1" applyFill="1" applyBorder="1" applyAlignment="1">
      <alignment horizontal="left" vertical="center"/>
    </xf>
    <xf numFmtId="164" fontId="6" fillId="0" borderId="37" xfId="0" applyNumberFormat="1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16" fillId="5" borderId="1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/>
    </xf>
    <xf numFmtId="0" fontId="28" fillId="6" borderId="12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vertical="center"/>
    </xf>
    <xf numFmtId="3" fontId="0" fillId="0" borderId="0" xfId="0" applyNumberFormat="1"/>
    <xf numFmtId="3" fontId="27" fillId="0" borderId="0" xfId="0" applyNumberFormat="1" applyFont="1" applyAlignment="1">
      <alignment vertical="center" textRotation="90"/>
    </xf>
    <xf numFmtId="0" fontId="5" fillId="3" borderId="12" xfId="0" applyFont="1" applyFill="1" applyBorder="1" applyAlignment="1">
      <alignment horizontal="center" vertical="center" wrapText="1"/>
    </xf>
    <xf numFmtId="3" fontId="30" fillId="5" borderId="12" xfId="0" applyNumberFormat="1" applyFont="1" applyFill="1" applyBorder="1" applyAlignment="1">
      <alignment horizontal="center" vertical="center"/>
    </xf>
    <xf numFmtId="3" fontId="31" fillId="6" borderId="5" xfId="0" applyNumberFormat="1" applyFont="1" applyFill="1" applyBorder="1" applyAlignment="1">
      <alignment horizontal="center" vertical="center"/>
    </xf>
    <xf numFmtId="3" fontId="31" fillId="0" borderId="5" xfId="0" applyNumberFormat="1" applyFont="1" applyFill="1" applyBorder="1" applyAlignment="1">
      <alignment horizontal="center" vertical="center"/>
    </xf>
    <xf numFmtId="3" fontId="31" fillId="2" borderId="5" xfId="0" applyNumberFormat="1" applyFont="1" applyFill="1" applyBorder="1" applyAlignment="1">
      <alignment horizontal="center" vertical="center"/>
    </xf>
    <xf numFmtId="3" fontId="31" fillId="4" borderId="5" xfId="0" applyNumberFormat="1" applyFont="1" applyFill="1" applyBorder="1" applyAlignment="1">
      <alignment horizontal="center" vertical="center"/>
    </xf>
    <xf numFmtId="3" fontId="31" fillId="3" borderId="5" xfId="0" applyNumberFormat="1" applyFont="1" applyFill="1" applyBorder="1" applyAlignment="1">
      <alignment horizontal="center" vertical="center"/>
    </xf>
    <xf numFmtId="3" fontId="31" fillId="5" borderId="5" xfId="0" applyNumberFormat="1" applyFont="1" applyFill="1" applyBorder="1" applyAlignment="1">
      <alignment horizontal="center" vertical="center"/>
    </xf>
    <xf numFmtId="3" fontId="31" fillId="3" borderId="12" xfId="0" applyNumberFormat="1" applyFont="1" applyFill="1" applyBorder="1" applyAlignment="1">
      <alignment horizontal="center" vertical="center"/>
    </xf>
    <xf numFmtId="3" fontId="31" fillId="5" borderId="12" xfId="0" applyNumberFormat="1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/>
    </xf>
    <xf numFmtId="3" fontId="4" fillId="0" borderId="30" xfId="0" applyNumberFormat="1" applyFont="1" applyFill="1" applyBorder="1" applyAlignment="1">
      <alignment horizontal="center" vertical="center"/>
    </xf>
    <xf numFmtId="3" fontId="4" fillId="0" borderId="31" xfId="0" applyNumberFormat="1" applyFont="1" applyFill="1" applyBorder="1" applyAlignment="1">
      <alignment horizontal="center" vertical="center"/>
    </xf>
    <xf numFmtId="3" fontId="4" fillId="0" borderId="30" xfId="0" applyNumberFormat="1" applyFont="1" applyFill="1" applyBorder="1" applyAlignment="1">
      <alignment horizontal="right" vertical="center"/>
    </xf>
    <xf numFmtId="3" fontId="4" fillId="0" borderId="31" xfId="0" applyNumberFormat="1" applyFont="1" applyFill="1" applyBorder="1" applyAlignment="1">
      <alignment horizontal="right" vertical="center"/>
    </xf>
    <xf numFmtId="0" fontId="4" fillId="0" borderId="30" xfId="0" applyFont="1" applyFill="1" applyBorder="1" applyAlignment="1">
      <alignment horizontal="left" vertical="center"/>
    </xf>
    <xf numFmtId="0" fontId="4" fillId="0" borderId="31" xfId="0" applyFont="1" applyFill="1" applyBorder="1" applyAlignment="1">
      <alignment horizontal="left" vertical="center"/>
    </xf>
    <xf numFmtId="3" fontId="4" fillId="0" borderId="12" xfId="0" applyNumberFormat="1" applyFont="1" applyFill="1" applyBorder="1" applyAlignment="1">
      <alignment horizontal="right" vertical="center"/>
    </xf>
    <xf numFmtId="0" fontId="4" fillId="0" borderId="12" xfId="0" applyFont="1" applyFill="1" applyBorder="1" applyAlignment="1">
      <alignment vertical="center"/>
    </xf>
    <xf numFmtId="0" fontId="13" fillId="5" borderId="17" xfId="0" applyFont="1" applyFill="1" applyBorder="1" applyAlignment="1">
      <alignment horizontal="left" vertical="center"/>
    </xf>
    <xf numFmtId="0" fontId="13" fillId="5" borderId="15" xfId="0" applyFont="1" applyFill="1" applyBorder="1" applyAlignment="1">
      <alignment horizontal="left" vertical="center"/>
    </xf>
    <xf numFmtId="0" fontId="13" fillId="5" borderId="16" xfId="0" applyFont="1" applyFill="1" applyBorder="1" applyAlignment="1">
      <alignment horizontal="left" vertical="center"/>
    </xf>
    <xf numFmtId="0" fontId="13" fillId="6" borderId="13" xfId="0" applyFont="1" applyFill="1" applyBorder="1" applyAlignment="1">
      <alignment vertical="center"/>
    </xf>
    <xf numFmtId="0" fontId="2" fillId="3" borderId="14" xfId="0" applyFont="1" applyFill="1" applyBorder="1" applyAlignment="1">
      <alignment vertical="center"/>
    </xf>
    <xf numFmtId="3" fontId="4" fillId="0" borderId="12" xfId="0" applyNumberFormat="1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left" vertical="center"/>
    </xf>
    <xf numFmtId="3" fontId="4" fillId="0" borderId="12" xfId="0" applyNumberFormat="1" applyFont="1" applyFill="1" applyBorder="1" applyAlignment="1">
      <alignment horizontal="left" vertical="center"/>
    </xf>
    <xf numFmtId="0" fontId="13" fillId="6" borderId="12" xfId="0" applyFont="1" applyFill="1" applyBorder="1" applyAlignment="1">
      <alignment vertical="center"/>
    </xf>
    <xf numFmtId="0" fontId="2" fillId="3" borderId="12" xfId="0" applyFont="1" applyFill="1" applyBorder="1" applyAlignment="1">
      <alignment vertical="center"/>
    </xf>
    <xf numFmtId="0" fontId="2" fillId="3" borderId="17" xfId="0" applyFont="1" applyFill="1" applyBorder="1" applyAlignment="1">
      <alignment vertical="center"/>
    </xf>
    <xf numFmtId="0" fontId="13" fillId="0" borderId="17" xfId="0" applyFont="1" applyFill="1" applyBorder="1" applyAlignment="1">
      <alignment vertical="center"/>
    </xf>
    <xf numFmtId="0" fontId="13" fillId="0" borderId="15" xfId="0" applyFont="1" applyFill="1" applyBorder="1" applyAlignment="1">
      <alignment vertical="center"/>
    </xf>
    <xf numFmtId="0" fontId="13" fillId="0" borderId="16" xfId="0" applyFont="1" applyFill="1" applyBorder="1" applyAlignment="1">
      <alignment vertical="center"/>
    </xf>
    <xf numFmtId="0" fontId="4" fillId="0" borderId="30" xfId="0" applyFont="1" applyFill="1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horizontal="left" vertical="center" wrapText="1"/>
    </xf>
    <xf numFmtId="0" fontId="14" fillId="3" borderId="29" xfId="0" applyFont="1" applyFill="1" applyBorder="1" applyAlignment="1">
      <alignment horizontal="left" vertical="center" wrapText="1"/>
    </xf>
    <xf numFmtId="3" fontId="4" fillId="5" borderId="12" xfId="0" applyNumberFormat="1" applyFont="1" applyFill="1" applyBorder="1" applyAlignment="1">
      <alignment horizontal="right" vertical="center"/>
    </xf>
    <xf numFmtId="0" fontId="13" fillId="6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0" fontId="19" fillId="3" borderId="5" xfId="0" applyFont="1" applyFill="1" applyBorder="1" applyAlignment="1">
      <alignment vertical="center"/>
    </xf>
    <xf numFmtId="0" fontId="19" fillId="3" borderId="6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13" fillId="5" borderId="4" xfId="0" applyFont="1" applyFill="1" applyBorder="1" applyAlignment="1">
      <alignment vertical="center"/>
    </xf>
    <xf numFmtId="0" fontId="2" fillId="5" borderId="5" xfId="0" applyFont="1" applyFill="1" applyBorder="1" applyAlignment="1">
      <alignment vertical="center"/>
    </xf>
    <xf numFmtId="0" fontId="2" fillId="5" borderId="6" xfId="0" applyFont="1" applyFill="1" applyBorder="1" applyAlignment="1">
      <alignment vertical="center"/>
    </xf>
    <xf numFmtId="0" fontId="5" fillId="5" borderId="26" xfId="0" applyFont="1" applyFill="1" applyBorder="1" applyAlignment="1">
      <alignment horizontal="left" vertical="center" wrapText="1"/>
    </xf>
    <xf numFmtId="0" fontId="5" fillId="5" borderId="27" xfId="0" applyFont="1" applyFill="1" applyBorder="1" applyAlignment="1">
      <alignment horizontal="left" vertical="center" wrapText="1"/>
    </xf>
    <xf numFmtId="0" fontId="5" fillId="5" borderId="28" xfId="0" applyFont="1" applyFill="1" applyBorder="1" applyAlignment="1">
      <alignment horizontal="left" vertical="center" wrapText="1"/>
    </xf>
    <xf numFmtId="0" fontId="12" fillId="5" borderId="30" xfId="0" applyFont="1" applyFill="1" applyBorder="1" applyAlignment="1">
      <alignment horizontal="left" vertical="center"/>
    </xf>
    <xf numFmtId="0" fontId="12" fillId="5" borderId="31" xfId="0" applyFont="1" applyFill="1" applyBorder="1" applyAlignment="1">
      <alignment horizontal="left" vertical="center"/>
    </xf>
    <xf numFmtId="0" fontId="5" fillId="5" borderId="17" xfId="0" applyFont="1" applyFill="1" applyBorder="1" applyAlignment="1">
      <alignment horizontal="left"/>
    </xf>
    <xf numFmtId="0" fontId="5" fillId="5" borderId="15" xfId="0" applyFont="1" applyFill="1" applyBorder="1" applyAlignment="1">
      <alignment horizontal="left"/>
    </xf>
    <xf numFmtId="0" fontId="5" fillId="5" borderId="16" xfId="0" applyFont="1" applyFill="1" applyBorder="1" applyAlignment="1">
      <alignment horizontal="left"/>
    </xf>
    <xf numFmtId="0" fontId="5" fillId="3" borderId="12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left" vertical="center" wrapText="1"/>
    </xf>
    <xf numFmtId="0" fontId="5" fillId="3" borderId="15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horizontal="left" vertical="center" wrapText="1"/>
    </xf>
    <xf numFmtId="0" fontId="2" fillId="5" borderId="21" xfId="0" applyFont="1" applyFill="1" applyBorder="1" applyAlignment="1">
      <alignment horizontal="left" vertical="center"/>
    </xf>
    <xf numFmtId="0" fontId="2" fillId="5" borderId="22" xfId="0" applyFont="1" applyFill="1" applyBorder="1" applyAlignment="1">
      <alignment horizontal="left" vertical="center"/>
    </xf>
    <xf numFmtId="0" fontId="2" fillId="5" borderId="11" xfId="0" applyFont="1" applyFill="1" applyBorder="1" applyAlignment="1">
      <alignment horizontal="left" vertical="center"/>
    </xf>
    <xf numFmtId="0" fontId="5" fillId="3" borderId="26" xfId="0" applyFont="1" applyFill="1" applyBorder="1" applyAlignment="1">
      <alignment horizontal="left" vertical="center" wrapText="1"/>
    </xf>
    <xf numFmtId="0" fontId="5" fillId="3" borderId="27" xfId="0" applyFont="1" applyFill="1" applyBorder="1" applyAlignment="1">
      <alignment horizontal="left" vertical="center" wrapText="1"/>
    </xf>
    <xf numFmtId="0" fontId="5" fillId="3" borderId="28" xfId="0" applyFont="1" applyFill="1" applyBorder="1" applyAlignment="1">
      <alignment horizontal="left" vertical="center" wrapText="1"/>
    </xf>
    <xf numFmtId="0" fontId="13" fillId="4" borderId="4" xfId="0" applyFont="1" applyFill="1" applyBorder="1" applyAlignment="1">
      <alignment vertical="center"/>
    </xf>
    <xf numFmtId="0" fontId="5" fillId="3" borderId="17" xfId="0" applyFont="1" applyFill="1" applyBorder="1" applyAlignment="1">
      <alignment horizontal="left" vertical="center"/>
    </xf>
    <xf numFmtId="0" fontId="5" fillId="3" borderId="15" xfId="0" applyFont="1" applyFill="1" applyBorder="1" applyAlignment="1">
      <alignment horizontal="left" vertical="center"/>
    </xf>
    <xf numFmtId="0" fontId="5" fillId="3" borderId="16" xfId="0" applyFont="1" applyFill="1" applyBorder="1" applyAlignment="1">
      <alignment horizontal="left" vertical="center"/>
    </xf>
    <xf numFmtId="0" fontId="6" fillId="6" borderId="7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6" fillId="0" borderId="7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12" fillId="3" borderId="34" xfId="0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left" vertical="center"/>
    </xf>
    <xf numFmtId="0" fontId="10" fillId="0" borderId="8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vertical="center"/>
    </xf>
    <xf numFmtId="0" fontId="11" fillId="0" borderId="8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vertical="center"/>
    </xf>
    <xf numFmtId="0" fontId="13" fillId="3" borderId="17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5" fillId="5" borderId="38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vertical="center"/>
    </xf>
    <xf numFmtId="0" fontId="2" fillId="0" borderId="12" xfId="0" applyFont="1" applyFill="1" applyBorder="1" applyAlignment="1">
      <alignment vertical="center"/>
    </xf>
    <xf numFmtId="0" fontId="12" fillId="6" borderId="18" xfId="0" applyFont="1" applyFill="1" applyBorder="1" applyAlignment="1">
      <alignment horizontal="left" vertical="center"/>
    </xf>
    <xf numFmtId="0" fontId="12" fillId="6" borderId="20" xfId="0" applyFont="1" applyFill="1" applyBorder="1" applyAlignment="1">
      <alignment horizontal="left" vertical="center"/>
    </xf>
    <xf numFmtId="0" fontId="13" fillId="4" borderId="17" xfId="0" applyFont="1" applyFill="1" applyBorder="1" applyAlignment="1">
      <alignment vertical="center"/>
    </xf>
    <xf numFmtId="0" fontId="13" fillId="4" borderId="15" xfId="0" applyFont="1" applyFill="1" applyBorder="1" applyAlignment="1">
      <alignment vertical="center"/>
    </xf>
    <xf numFmtId="0" fontId="13" fillId="4" borderId="16" xfId="0" applyFont="1" applyFill="1" applyBorder="1" applyAlignment="1">
      <alignment vertical="center"/>
    </xf>
    <xf numFmtId="0" fontId="17" fillId="3" borderId="7" xfId="0" applyFont="1" applyFill="1" applyBorder="1" applyAlignment="1">
      <alignment vertical="center"/>
    </xf>
    <xf numFmtId="0" fontId="19" fillId="3" borderId="9" xfId="0" applyFont="1" applyFill="1" applyBorder="1" applyAlignment="1">
      <alignment vertical="center"/>
    </xf>
    <xf numFmtId="0" fontId="12" fillId="5" borderId="18" xfId="0" applyFont="1" applyFill="1" applyBorder="1" applyAlignment="1">
      <alignment vertical="center"/>
    </xf>
    <xf numFmtId="0" fontId="12" fillId="5" borderId="20" xfId="0" applyFont="1" applyFill="1" applyBorder="1" applyAlignment="1">
      <alignment vertical="center"/>
    </xf>
    <xf numFmtId="0" fontId="5" fillId="3" borderId="25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3" borderId="24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vertical="center"/>
    </xf>
    <xf numFmtId="0" fontId="2" fillId="5" borderId="9" xfId="0" applyFont="1" applyFill="1" applyBorder="1" applyAlignment="1">
      <alignment vertical="center"/>
    </xf>
    <xf numFmtId="0" fontId="21" fillId="5" borderId="30" xfId="0" applyFont="1" applyFill="1" applyBorder="1" applyAlignment="1">
      <alignment horizontal="left" vertical="center" wrapText="1"/>
    </xf>
    <xf numFmtId="0" fontId="21" fillId="5" borderId="32" xfId="0" applyFont="1" applyFill="1" applyBorder="1" applyAlignment="1">
      <alignment horizontal="left" vertical="center"/>
    </xf>
    <xf numFmtId="0" fontId="21" fillId="5" borderId="31" xfId="0" applyFont="1" applyFill="1" applyBorder="1" applyAlignment="1">
      <alignment horizontal="left" vertical="center"/>
    </xf>
    <xf numFmtId="0" fontId="4" fillId="5" borderId="12" xfId="0" applyFont="1" applyFill="1" applyBorder="1" applyAlignment="1">
      <alignment horizontal="left" vertical="center"/>
    </xf>
    <xf numFmtId="0" fontId="13" fillId="3" borderId="12" xfId="0" applyFont="1" applyFill="1" applyBorder="1" applyAlignment="1">
      <alignment vertical="center"/>
    </xf>
    <xf numFmtId="0" fontId="13" fillId="6" borderId="17" xfId="0" applyFont="1" applyFill="1" applyBorder="1" applyAlignment="1">
      <alignment vertical="center"/>
    </xf>
    <xf numFmtId="0" fontId="13" fillId="6" borderId="15" xfId="0" applyFont="1" applyFill="1" applyBorder="1" applyAlignment="1">
      <alignment vertical="center"/>
    </xf>
    <xf numFmtId="0" fontId="13" fillId="6" borderId="16" xfId="0" applyFont="1" applyFill="1" applyBorder="1" applyAlignment="1">
      <alignment vertical="center"/>
    </xf>
    <xf numFmtId="0" fontId="6" fillId="5" borderId="36" xfId="0" applyFont="1" applyFill="1" applyBorder="1" applyAlignment="1">
      <alignment horizontal="left" vertical="center"/>
    </xf>
    <xf numFmtId="0" fontId="6" fillId="5" borderId="9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vertical="center"/>
    </xf>
    <xf numFmtId="0" fontId="13" fillId="5" borderId="12" xfId="0" applyFont="1" applyFill="1" applyBorder="1" applyAlignment="1">
      <alignment horizontal="left" vertical="center"/>
    </xf>
    <xf numFmtId="0" fontId="2" fillId="5" borderId="12" xfId="0" applyFont="1" applyFill="1" applyBorder="1" applyAlignment="1">
      <alignment horizontal="left" vertical="center"/>
    </xf>
    <xf numFmtId="0" fontId="6" fillId="3" borderId="36" xfId="0" applyFont="1" applyFill="1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/>
    </xf>
    <xf numFmtId="0" fontId="4" fillId="0" borderId="30" xfId="0" applyFont="1" applyFill="1" applyBorder="1" applyAlignment="1">
      <alignment vertical="center"/>
    </xf>
    <xf numFmtId="0" fontId="4" fillId="0" borderId="31" xfId="0" applyFont="1" applyFill="1" applyBorder="1" applyAlignment="1">
      <alignment vertical="center"/>
    </xf>
    <xf numFmtId="0" fontId="21" fillId="3" borderId="12" xfId="0" applyFont="1" applyFill="1" applyBorder="1" applyAlignment="1">
      <alignment horizontal="left" vertical="center"/>
    </xf>
    <xf numFmtId="3" fontId="29" fillId="0" borderId="12" xfId="0" applyNumberFormat="1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vertical="center"/>
    </xf>
    <xf numFmtId="0" fontId="2" fillId="5" borderId="12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8" fillId="0" borderId="7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0" borderId="5" xfId="0" applyFont="1" applyFill="1" applyBorder="1" applyAlignment="1">
      <alignment vertical="center"/>
    </xf>
    <xf numFmtId="0" fontId="9" fillId="0" borderId="8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67"/>
  <sheetViews>
    <sheetView tabSelected="1" zoomScaleNormal="100" workbookViewId="0">
      <selection activeCell="L51" sqref="L51"/>
    </sheetView>
  </sheetViews>
  <sheetFormatPr defaultRowHeight="15"/>
  <cols>
    <col min="1" max="1" width="12.85546875" style="3" customWidth="1"/>
    <col min="2" max="2" width="12.140625" style="3" customWidth="1"/>
    <col min="3" max="4" width="9.140625" style="3"/>
    <col min="5" max="5" width="22.42578125" style="3" customWidth="1"/>
    <col min="6" max="6" width="23.5703125" style="3" customWidth="1"/>
    <col min="7" max="7" width="13.7109375" style="3" customWidth="1"/>
    <col min="8" max="8" width="14.28515625" style="3" customWidth="1"/>
    <col min="9" max="9" width="7.42578125" style="3" customWidth="1"/>
    <col min="10" max="10" width="20.7109375" style="78" customWidth="1"/>
    <col min="11" max="11" width="18" style="3" customWidth="1"/>
    <col min="12" max="12" width="12.140625" style="43" customWidth="1"/>
    <col min="13" max="13" width="5.42578125" style="42" bestFit="1" customWidth="1"/>
    <col min="14" max="14" width="24" style="83" customWidth="1"/>
    <col min="15" max="15" width="9.140625" customWidth="1"/>
  </cols>
  <sheetData>
    <row r="1" spans="1:15">
      <c r="A1" s="213" t="s">
        <v>0</v>
      </c>
      <c r="B1" s="214"/>
      <c r="C1" s="214"/>
      <c r="D1" s="214"/>
      <c r="E1" s="214"/>
      <c r="F1" s="214"/>
      <c r="G1" s="214"/>
      <c r="H1" s="214"/>
      <c r="I1" s="214"/>
      <c r="J1" s="215"/>
      <c r="K1" s="68">
        <v>46239</v>
      </c>
      <c r="L1" s="210" t="s">
        <v>52</v>
      </c>
      <c r="M1" s="210"/>
    </row>
    <row r="2" spans="1:15">
      <c r="A2" s="216"/>
      <c r="B2" s="217"/>
      <c r="C2" s="217"/>
      <c r="D2" s="217"/>
      <c r="E2" s="217"/>
      <c r="F2" s="217"/>
      <c r="G2" s="217"/>
      <c r="H2" s="217"/>
      <c r="I2" s="217"/>
      <c r="J2" s="167"/>
      <c r="K2" s="69">
        <v>1</v>
      </c>
      <c r="L2" s="210"/>
      <c r="M2" s="210"/>
    </row>
    <row r="3" spans="1:15">
      <c r="A3" s="218" t="s">
        <v>1</v>
      </c>
      <c r="B3" s="220" t="s">
        <v>2</v>
      </c>
      <c r="C3" s="221" t="s">
        <v>3</v>
      </c>
      <c r="D3" s="222"/>
      <c r="E3" s="169"/>
      <c r="F3" s="1"/>
      <c r="G3" s="223" t="s">
        <v>4</v>
      </c>
      <c r="H3" s="167"/>
      <c r="I3" s="224"/>
      <c r="J3" s="164" t="s">
        <v>5</v>
      </c>
      <c r="K3" s="226"/>
      <c r="L3" s="210"/>
      <c r="M3" s="210"/>
    </row>
    <row r="4" spans="1:15" ht="12" customHeight="1">
      <c r="A4" s="219"/>
      <c r="B4" s="169"/>
      <c r="C4" s="222"/>
      <c r="D4" s="222"/>
      <c r="E4" s="169"/>
      <c r="F4" s="1"/>
      <c r="G4" s="166" t="s">
        <v>32</v>
      </c>
      <c r="H4" s="168" t="s">
        <v>6</v>
      </c>
      <c r="I4" s="169"/>
      <c r="J4" s="165"/>
      <c r="K4" s="227"/>
      <c r="L4" s="210"/>
      <c r="M4" s="210"/>
    </row>
    <row r="5" spans="1:15" ht="12.75" customHeight="1">
      <c r="A5" s="161"/>
      <c r="B5" s="167"/>
      <c r="C5" s="217"/>
      <c r="D5" s="217"/>
      <c r="E5" s="167"/>
      <c r="F5" s="28"/>
      <c r="G5" s="167"/>
      <c r="H5" s="169"/>
      <c r="I5" s="169"/>
      <c r="J5" s="165"/>
      <c r="K5" s="217"/>
      <c r="L5" s="210"/>
      <c r="M5" s="210"/>
      <c r="N5" s="84"/>
    </row>
    <row r="6" spans="1:15" ht="18" customHeight="1">
      <c r="A6" s="158" t="s">
        <v>7</v>
      </c>
      <c r="B6" s="10" t="s">
        <v>8</v>
      </c>
      <c r="C6" s="108" t="s">
        <v>61</v>
      </c>
      <c r="D6" s="109"/>
      <c r="E6" s="109"/>
      <c r="F6" s="29"/>
      <c r="G6" s="87">
        <v>1650</v>
      </c>
      <c r="H6" s="9">
        <v>138.86000000000001</v>
      </c>
      <c r="I6" s="8"/>
      <c r="J6" s="80" t="s">
        <v>63</v>
      </c>
      <c r="K6" s="58">
        <f t="shared" ref="K6:K55" si="0">G6*H6</f>
        <v>229119.00000000003</v>
      </c>
      <c r="L6" s="103">
        <v>9465</v>
      </c>
      <c r="M6" s="104" t="s">
        <v>34</v>
      </c>
    </row>
    <row r="7" spans="1:15" ht="17.25" customHeight="1">
      <c r="A7" s="159"/>
      <c r="B7" s="10" t="s">
        <v>9</v>
      </c>
      <c r="C7" s="108" t="s">
        <v>61</v>
      </c>
      <c r="D7" s="109"/>
      <c r="E7" s="109"/>
      <c r="F7" s="81"/>
      <c r="G7" s="87">
        <v>9000</v>
      </c>
      <c r="H7" s="9">
        <v>138.86000000000001</v>
      </c>
      <c r="I7" s="8"/>
      <c r="J7" s="80" t="s">
        <v>62</v>
      </c>
      <c r="K7" s="58">
        <f t="shared" si="0"/>
        <v>1249740.0000000002</v>
      </c>
      <c r="L7" s="103"/>
      <c r="M7" s="104"/>
    </row>
    <row r="8" spans="1:15" ht="18" customHeight="1">
      <c r="A8" s="160" t="s">
        <v>10</v>
      </c>
      <c r="B8" s="5" t="s">
        <v>8</v>
      </c>
      <c r="C8" s="105" t="s">
        <v>78</v>
      </c>
      <c r="D8" s="106"/>
      <c r="E8" s="107"/>
      <c r="F8" s="40"/>
      <c r="G8" s="88">
        <v>300</v>
      </c>
      <c r="H8" s="6">
        <v>423.03</v>
      </c>
      <c r="I8" s="4"/>
      <c r="J8" s="70" t="s">
        <v>63</v>
      </c>
      <c r="K8" s="62">
        <f t="shared" si="0"/>
        <v>126908.99999999999</v>
      </c>
      <c r="L8" s="103">
        <v>4905</v>
      </c>
      <c r="M8" s="110" t="s">
        <v>34</v>
      </c>
    </row>
    <row r="9" spans="1:15" ht="15.75" customHeight="1">
      <c r="A9" s="161"/>
      <c r="B9" s="2" t="s">
        <v>9</v>
      </c>
      <c r="C9" s="105" t="s">
        <v>78</v>
      </c>
      <c r="D9" s="106"/>
      <c r="E9" s="107"/>
      <c r="F9" s="40" t="s">
        <v>85</v>
      </c>
      <c r="G9" s="89">
        <v>1300</v>
      </c>
      <c r="H9" s="6">
        <v>423.03</v>
      </c>
      <c r="I9" s="4"/>
      <c r="J9" s="70" t="s">
        <v>62</v>
      </c>
      <c r="K9" s="62">
        <f t="shared" si="0"/>
        <v>549939</v>
      </c>
      <c r="L9" s="103"/>
      <c r="M9" s="110"/>
    </row>
    <row r="10" spans="1:15" ht="21" customHeight="1">
      <c r="A10" s="158" t="s">
        <v>11</v>
      </c>
      <c r="B10" s="11" t="s">
        <v>8</v>
      </c>
      <c r="C10" s="108" t="s">
        <v>76</v>
      </c>
      <c r="D10" s="109"/>
      <c r="E10" s="109"/>
      <c r="F10" s="29"/>
      <c r="G10" s="87">
        <v>11000</v>
      </c>
      <c r="H10" s="7">
        <v>47.89</v>
      </c>
      <c r="I10" s="8"/>
      <c r="J10" s="80" t="s">
        <v>63</v>
      </c>
      <c r="K10" s="58">
        <f t="shared" si="0"/>
        <v>526790</v>
      </c>
      <c r="L10" s="103">
        <v>3332</v>
      </c>
      <c r="M10" s="113" t="s">
        <v>34</v>
      </c>
    </row>
    <row r="11" spans="1:15" ht="18.75" customHeight="1">
      <c r="A11" s="159"/>
      <c r="B11" s="11" t="s">
        <v>9</v>
      </c>
      <c r="C11" s="108" t="s">
        <v>76</v>
      </c>
      <c r="D11" s="109"/>
      <c r="E11" s="109"/>
      <c r="F11" s="29"/>
      <c r="G11" s="87">
        <v>10000</v>
      </c>
      <c r="H11" s="7">
        <v>47.89</v>
      </c>
      <c r="I11" s="8"/>
      <c r="J11" s="80" t="s">
        <v>62</v>
      </c>
      <c r="K11" s="58">
        <f t="shared" si="0"/>
        <v>478900</v>
      </c>
      <c r="L11" s="103"/>
      <c r="M11" s="113"/>
    </row>
    <row r="12" spans="1:15" ht="18.75" customHeight="1">
      <c r="A12" s="160" t="s">
        <v>12</v>
      </c>
      <c r="B12" s="5" t="s">
        <v>8</v>
      </c>
      <c r="C12" s="117" t="s">
        <v>71</v>
      </c>
      <c r="D12" s="118"/>
      <c r="E12" s="119"/>
      <c r="F12" s="40"/>
      <c r="G12" s="90">
        <v>4500</v>
      </c>
      <c r="H12" s="6">
        <v>114.52</v>
      </c>
      <c r="I12" s="4"/>
      <c r="J12" s="71" t="s">
        <v>63</v>
      </c>
      <c r="K12" s="62">
        <f t="shared" si="0"/>
        <v>515340</v>
      </c>
      <c r="L12" s="103">
        <v>11111</v>
      </c>
      <c r="M12" s="112" t="s">
        <v>34</v>
      </c>
    </row>
    <row r="13" spans="1:15" ht="17.25" customHeight="1">
      <c r="A13" s="161"/>
      <c r="B13" s="5" t="s">
        <v>9</v>
      </c>
      <c r="C13" s="117" t="s">
        <v>71</v>
      </c>
      <c r="D13" s="118"/>
      <c r="E13" s="119"/>
      <c r="F13" s="40"/>
      <c r="G13" s="88"/>
      <c r="H13" s="6">
        <v>114.52</v>
      </c>
      <c r="I13" s="4"/>
      <c r="J13" s="71"/>
      <c r="K13" s="62">
        <f t="shared" si="0"/>
        <v>0</v>
      </c>
      <c r="L13" s="103"/>
      <c r="M13" s="112"/>
    </row>
    <row r="14" spans="1:15" ht="19.5" customHeight="1">
      <c r="A14" s="158" t="s">
        <v>13</v>
      </c>
      <c r="B14" s="11" t="s">
        <v>8</v>
      </c>
      <c r="C14" s="114" t="s">
        <v>40</v>
      </c>
      <c r="D14" s="115"/>
      <c r="E14" s="116"/>
      <c r="F14" s="29" t="s">
        <v>86</v>
      </c>
      <c r="G14" s="87">
        <v>4000</v>
      </c>
      <c r="H14" s="7">
        <v>14.41</v>
      </c>
      <c r="I14" s="8"/>
      <c r="J14" s="79" t="s">
        <v>75</v>
      </c>
      <c r="K14" s="58">
        <f t="shared" si="0"/>
        <v>57640</v>
      </c>
      <c r="L14" s="103">
        <v>57298</v>
      </c>
      <c r="M14" s="111" t="s">
        <v>34</v>
      </c>
    </row>
    <row r="15" spans="1:15" s="27" customFormat="1" ht="18.75" customHeight="1">
      <c r="A15" s="159"/>
      <c r="B15" s="11" t="s">
        <v>9</v>
      </c>
      <c r="C15" s="114" t="s">
        <v>40</v>
      </c>
      <c r="D15" s="115"/>
      <c r="E15" s="116"/>
      <c r="F15" s="29"/>
      <c r="G15" s="87"/>
      <c r="H15" s="7">
        <v>14.41</v>
      </c>
      <c r="I15" s="8"/>
      <c r="J15" s="79"/>
      <c r="K15" s="58">
        <f t="shared" si="0"/>
        <v>0</v>
      </c>
      <c r="L15" s="103"/>
      <c r="M15" s="111"/>
      <c r="N15" s="83"/>
      <c r="O15"/>
    </row>
    <row r="16" spans="1:15" ht="17.25" customHeight="1">
      <c r="A16" s="160" t="s">
        <v>14</v>
      </c>
      <c r="B16" s="5" t="s">
        <v>8</v>
      </c>
      <c r="C16" s="176" t="s">
        <v>56</v>
      </c>
      <c r="D16" s="177"/>
      <c r="E16" s="177"/>
      <c r="F16" s="44" t="s">
        <v>87</v>
      </c>
      <c r="G16" s="88">
        <v>4000</v>
      </c>
      <c r="H16" s="6">
        <v>33.28</v>
      </c>
      <c r="I16" s="4"/>
      <c r="J16" s="31" t="s">
        <v>75</v>
      </c>
      <c r="K16" s="62">
        <f t="shared" si="0"/>
        <v>133120</v>
      </c>
      <c r="L16" s="103">
        <v>19042</v>
      </c>
      <c r="M16" s="111" t="s">
        <v>34</v>
      </c>
    </row>
    <row r="17" spans="1:43" ht="17.25" customHeight="1">
      <c r="A17" s="161"/>
      <c r="B17" s="5" t="s">
        <v>9</v>
      </c>
      <c r="C17" s="176" t="s">
        <v>56</v>
      </c>
      <c r="D17" s="177"/>
      <c r="E17" s="177"/>
      <c r="F17" s="44"/>
      <c r="G17" s="88"/>
      <c r="H17" s="6">
        <v>33.28</v>
      </c>
      <c r="I17" s="4"/>
      <c r="J17" s="70"/>
      <c r="K17" s="62">
        <f t="shared" si="0"/>
        <v>0</v>
      </c>
      <c r="L17" s="103"/>
      <c r="M17" s="111"/>
    </row>
    <row r="18" spans="1:43" s="48" customFormat="1" ht="17.25" customHeight="1">
      <c r="A18" s="225" t="s">
        <v>15</v>
      </c>
      <c r="B18" s="52" t="s">
        <v>8</v>
      </c>
      <c r="C18" s="196" t="s">
        <v>51</v>
      </c>
      <c r="D18" s="115"/>
      <c r="E18" s="115"/>
      <c r="F18" s="53"/>
      <c r="G18" s="91">
        <v>8800</v>
      </c>
      <c r="H18" s="9">
        <v>23.71</v>
      </c>
      <c r="I18" s="8"/>
      <c r="J18" s="80" t="s">
        <v>75</v>
      </c>
      <c r="K18" s="56">
        <f t="shared" ref="K18:K19" si="1">G18*H18</f>
        <v>208648</v>
      </c>
      <c r="L18" s="99">
        <v>28861</v>
      </c>
      <c r="M18" s="97" t="s">
        <v>34</v>
      </c>
      <c r="N18" s="83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48" customFormat="1" ht="17.25" customHeight="1">
      <c r="A19" s="159"/>
      <c r="B19" s="52" t="s">
        <v>9</v>
      </c>
      <c r="C19" s="196" t="s">
        <v>51</v>
      </c>
      <c r="D19" s="115"/>
      <c r="E19" s="115"/>
      <c r="F19" s="53"/>
      <c r="G19" s="91"/>
      <c r="H19" s="9">
        <v>23.71</v>
      </c>
      <c r="I19" s="8"/>
      <c r="J19" s="80"/>
      <c r="K19" s="56">
        <f t="shared" si="1"/>
        <v>0</v>
      </c>
      <c r="L19" s="100"/>
      <c r="M19" s="98"/>
      <c r="N19" s="83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48" customFormat="1" ht="17.25" customHeight="1">
      <c r="A20" s="202" t="s">
        <v>16</v>
      </c>
      <c r="B20" s="45" t="s">
        <v>8</v>
      </c>
      <c r="C20" s="211" t="s">
        <v>69</v>
      </c>
      <c r="D20" s="212"/>
      <c r="E20" s="212"/>
      <c r="F20" s="46"/>
      <c r="G20" s="92">
        <v>7700</v>
      </c>
      <c r="H20" s="47">
        <v>10.47</v>
      </c>
      <c r="I20" s="14"/>
      <c r="J20" s="31" t="s">
        <v>75</v>
      </c>
      <c r="K20" s="57">
        <f t="shared" ref="K20:K23" si="2">G20*H20</f>
        <v>80619</v>
      </c>
      <c r="L20" s="103">
        <v>1663</v>
      </c>
      <c r="M20" s="112" t="s">
        <v>34</v>
      </c>
      <c r="N20" s="83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48" customFormat="1" ht="17.25" customHeight="1">
      <c r="A21" s="191"/>
      <c r="B21" s="45" t="s">
        <v>9</v>
      </c>
      <c r="C21" s="211" t="s">
        <v>69</v>
      </c>
      <c r="D21" s="212"/>
      <c r="E21" s="212"/>
      <c r="F21" s="46"/>
      <c r="G21" s="92"/>
      <c r="H21" s="47">
        <v>10.47</v>
      </c>
      <c r="I21" s="14"/>
      <c r="J21" s="31"/>
      <c r="K21" s="57">
        <f t="shared" si="2"/>
        <v>0</v>
      </c>
      <c r="L21" s="103"/>
      <c r="M21" s="112"/>
      <c r="N21" s="84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48" customFormat="1" ht="17.25" customHeight="1">
      <c r="A22" s="205" t="s">
        <v>17</v>
      </c>
      <c r="B22" s="52" t="s">
        <v>8</v>
      </c>
      <c r="C22" s="170" t="s">
        <v>61</v>
      </c>
      <c r="D22" s="171"/>
      <c r="E22" s="172"/>
      <c r="F22" s="53"/>
      <c r="G22" s="91">
        <v>1800</v>
      </c>
      <c r="H22" s="9">
        <v>138.86000000000001</v>
      </c>
      <c r="I22" s="8"/>
      <c r="J22" s="80" t="s">
        <v>54</v>
      </c>
      <c r="K22" s="56">
        <f t="shared" si="2"/>
        <v>249948.00000000003</v>
      </c>
      <c r="L22" s="99">
        <v>57088</v>
      </c>
      <c r="M22" s="120" t="s">
        <v>34</v>
      </c>
      <c r="N22" s="83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48" customFormat="1" ht="17.25" customHeight="1">
      <c r="A23" s="206"/>
      <c r="B23" s="52" t="s">
        <v>9</v>
      </c>
      <c r="C23" s="170" t="s">
        <v>61</v>
      </c>
      <c r="D23" s="171"/>
      <c r="E23" s="172"/>
      <c r="F23" s="53"/>
      <c r="G23" s="91">
        <v>8000</v>
      </c>
      <c r="H23" s="9">
        <v>138.86000000000001</v>
      </c>
      <c r="I23" s="8"/>
      <c r="J23" s="80" t="s">
        <v>81</v>
      </c>
      <c r="K23" s="56">
        <f t="shared" si="2"/>
        <v>1110880</v>
      </c>
      <c r="L23" s="100"/>
      <c r="M23" s="121"/>
      <c r="N23" s="8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48" customFormat="1" ht="17.25" customHeight="1">
      <c r="A24" s="200" t="s">
        <v>18</v>
      </c>
      <c r="B24" s="45" t="s">
        <v>8</v>
      </c>
      <c r="C24" s="105" t="s">
        <v>77</v>
      </c>
      <c r="D24" s="106"/>
      <c r="E24" s="107"/>
      <c r="F24" s="46"/>
      <c r="G24" s="92">
        <v>6150</v>
      </c>
      <c r="H24" s="47">
        <v>200.04</v>
      </c>
      <c r="I24" s="14"/>
      <c r="J24" s="31" t="s">
        <v>54</v>
      </c>
      <c r="K24" s="57">
        <f t="shared" ref="K24:K25" si="3">G24*H24</f>
        <v>1230246</v>
      </c>
      <c r="L24" s="99">
        <v>11164</v>
      </c>
      <c r="M24" s="101" t="s">
        <v>34</v>
      </c>
      <c r="N24" s="83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48" customFormat="1" ht="17.25" customHeight="1">
      <c r="A25" s="201"/>
      <c r="B25" s="45" t="s">
        <v>9</v>
      </c>
      <c r="C25" s="105" t="s">
        <v>77</v>
      </c>
      <c r="D25" s="106"/>
      <c r="E25" s="107"/>
      <c r="F25" s="46"/>
      <c r="G25" s="92">
        <v>5000</v>
      </c>
      <c r="H25" s="47">
        <v>200.04</v>
      </c>
      <c r="I25" s="14"/>
      <c r="J25" s="31" t="s">
        <v>81</v>
      </c>
      <c r="K25" s="57">
        <f t="shared" si="3"/>
        <v>1000200</v>
      </c>
      <c r="L25" s="100"/>
      <c r="M25" s="102"/>
      <c r="N25" s="83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48" customFormat="1" ht="17.25" customHeight="1">
      <c r="A26" s="205" t="s">
        <v>19</v>
      </c>
      <c r="B26" s="52" t="s">
        <v>8</v>
      </c>
      <c r="C26" s="170" t="s">
        <v>38</v>
      </c>
      <c r="D26" s="171"/>
      <c r="E26" s="172"/>
      <c r="F26" s="53"/>
      <c r="G26" s="91">
        <v>13800</v>
      </c>
      <c r="H26" s="9">
        <v>41.44</v>
      </c>
      <c r="I26" s="8"/>
      <c r="J26" s="80" t="s">
        <v>54</v>
      </c>
      <c r="K26" s="56">
        <f t="shared" ref="K26:K27" si="4">G26*H26</f>
        <v>571872</v>
      </c>
      <c r="L26" s="103">
        <v>95200</v>
      </c>
      <c r="M26" s="111" t="s">
        <v>34</v>
      </c>
      <c r="N26" s="83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48" customFormat="1" ht="17.25" customHeight="1">
      <c r="A27" s="206"/>
      <c r="B27" s="52" t="s">
        <v>9</v>
      </c>
      <c r="C27" s="170" t="s">
        <v>58</v>
      </c>
      <c r="D27" s="171"/>
      <c r="E27" s="172"/>
      <c r="F27" s="53"/>
      <c r="G27" s="91">
        <v>15000</v>
      </c>
      <c r="H27" s="9">
        <v>41.44</v>
      </c>
      <c r="I27" s="8"/>
      <c r="J27" s="80" t="s">
        <v>81</v>
      </c>
      <c r="K27" s="56">
        <f t="shared" si="4"/>
        <v>621600</v>
      </c>
      <c r="L27" s="103"/>
      <c r="M27" s="111"/>
      <c r="N27" s="83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48" customFormat="1" ht="17.25" customHeight="1">
      <c r="A28" s="200" t="s">
        <v>25</v>
      </c>
      <c r="B28" s="45" t="s">
        <v>8</v>
      </c>
      <c r="C28" s="105" t="s">
        <v>57</v>
      </c>
      <c r="D28" s="106"/>
      <c r="E28" s="107"/>
      <c r="F28" s="46"/>
      <c r="G28" s="92">
        <v>12100</v>
      </c>
      <c r="H28" s="47">
        <v>14.41</v>
      </c>
      <c r="I28" s="14"/>
      <c r="J28" s="31" t="s">
        <v>54</v>
      </c>
      <c r="K28" s="57">
        <f t="shared" ref="K28:K29" si="5">G28*H28</f>
        <v>174361</v>
      </c>
      <c r="L28" s="103">
        <v>11218</v>
      </c>
      <c r="M28" s="111" t="s">
        <v>34</v>
      </c>
      <c r="N28" s="83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48" customFormat="1" ht="17.25" customHeight="1">
      <c r="A29" s="201"/>
      <c r="B29" s="45" t="s">
        <v>9</v>
      </c>
      <c r="C29" s="105" t="s">
        <v>57</v>
      </c>
      <c r="D29" s="106"/>
      <c r="E29" s="107"/>
      <c r="F29" s="46"/>
      <c r="G29" s="92"/>
      <c r="H29" s="47">
        <v>14.41</v>
      </c>
      <c r="I29" s="14"/>
      <c r="J29" s="31"/>
      <c r="K29" s="57">
        <f t="shared" si="5"/>
        <v>0</v>
      </c>
      <c r="L29" s="103"/>
      <c r="M29" s="111"/>
      <c r="N29" s="83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48" customFormat="1" ht="17.25" customHeight="1">
      <c r="A30" s="205" t="s">
        <v>41</v>
      </c>
      <c r="B30" s="52" t="s">
        <v>8</v>
      </c>
      <c r="C30" s="170" t="s">
        <v>64</v>
      </c>
      <c r="D30" s="171"/>
      <c r="E30" s="172"/>
      <c r="F30" s="53"/>
      <c r="G30" s="91">
        <v>7500</v>
      </c>
      <c r="H30" s="9">
        <v>17.61</v>
      </c>
      <c r="I30" s="8"/>
      <c r="J30" s="80" t="s">
        <v>55</v>
      </c>
      <c r="K30" s="56">
        <f t="shared" ref="K30:K33" si="6">G30*H30</f>
        <v>132075</v>
      </c>
      <c r="L30" s="103">
        <v>6798</v>
      </c>
      <c r="M30" s="111" t="s">
        <v>34</v>
      </c>
      <c r="N30" s="83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48" customFormat="1" ht="17.25" customHeight="1">
      <c r="A31" s="206"/>
      <c r="B31" s="52" t="s">
        <v>9</v>
      </c>
      <c r="C31" s="170" t="s">
        <v>64</v>
      </c>
      <c r="D31" s="171"/>
      <c r="E31" s="172"/>
      <c r="F31" s="53"/>
      <c r="G31" s="91"/>
      <c r="H31" s="9">
        <v>17.61</v>
      </c>
      <c r="I31" s="8"/>
      <c r="J31" s="80"/>
      <c r="K31" s="56">
        <f t="shared" si="6"/>
        <v>0</v>
      </c>
      <c r="L31" s="103"/>
      <c r="M31" s="111"/>
      <c r="N31" s="83"/>
      <c r="O31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</row>
    <row r="32" spans="1:43" s="48" customFormat="1" ht="17.25" customHeight="1">
      <c r="A32" s="200" t="s">
        <v>42</v>
      </c>
      <c r="B32" s="45" t="s">
        <v>8</v>
      </c>
      <c r="C32" s="105" t="s">
        <v>65</v>
      </c>
      <c r="D32" s="106"/>
      <c r="E32" s="107"/>
      <c r="F32" s="46"/>
      <c r="G32" s="92">
        <v>12400</v>
      </c>
      <c r="H32" s="47">
        <v>81.99</v>
      </c>
      <c r="I32" s="14"/>
      <c r="J32" s="31" t="s">
        <v>55</v>
      </c>
      <c r="K32" s="57">
        <f t="shared" si="6"/>
        <v>1016675.9999999999</v>
      </c>
      <c r="L32" s="99">
        <v>27136</v>
      </c>
      <c r="M32" s="207" t="s">
        <v>34</v>
      </c>
      <c r="N32" s="83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48" customFormat="1" ht="17.25" customHeight="1">
      <c r="A33" s="201"/>
      <c r="B33" s="45" t="s">
        <v>9</v>
      </c>
      <c r="C33" s="105" t="s">
        <v>65</v>
      </c>
      <c r="D33" s="106"/>
      <c r="E33" s="107"/>
      <c r="F33" s="46"/>
      <c r="G33" s="92"/>
      <c r="H33" s="47">
        <v>81.99</v>
      </c>
      <c r="I33" s="14"/>
      <c r="J33" s="31"/>
      <c r="K33" s="57">
        <f t="shared" si="6"/>
        <v>0</v>
      </c>
      <c r="L33" s="100"/>
      <c r="M33" s="208"/>
      <c r="N33" s="8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48" customFormat="1" ht="17.25" customHeight="1">
      <c r="A34" s="205" t="s">
        <v>43</v>
      </c>
      <c r="B34" s="52" t="s">
        <v>8</v>
      </c>
      <c r="C34" s="170" t="s">
        <v>74</v>
      </c>
      <c r="D34" s="171"/>
      <c r="E34" s="172"/>
      <c r="F34" s="53" t="s">
        <v>88</v>
      </c>
      <c r="G34" s="91">
        <v>6800</v>
      </c>
      <c r="H34" s="9">
        <v>66.510000000000005</v>
      </c>
      <c r="I34" s="8"/>
      <c r="J34" s="80" t="s">
        <v>55</v>
      </c>
      <c r="K34" s="56">
        <f t="shared" ref="K34:K35" si="7">G34*H34</f>
        <v>452268.00000000006</v>
      </c>
      <c r="L34" s="99">
        <v>11094</v>
      </c>
      <c r="M34" s="120" t="s">
        <v>34</v>
      </c>
      <c r="N34" s="83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48" customFormat="1" ht="17.25" customHeight="1">
      <c r="A35" s="206"/>
      <c r="B35" s="52" t="s">
        <v>9</v>
      </c>
      <c r="C35" s="170" t="s">
        <v>74</v>
      </c>
      <c r="D35" s="171"/>
      <c r="E35" s="172"/>
      <c r="F35" s="53"/>
      <c r="G35" s="91"/>
      <c r="H35" s="9">
        <v>66.510000000000005</v>
      </c>
      <c r="I35" s="8"/>
      <c r="J35" s="80"/>
      <c r="K35" s="56">
        <f t="shared" si="7"/>
        <v>0</v>
      </c>
      <c r="L35" s="100"/>
      <c r="M35" s="121"/>
      <c r="N35" s="83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48" customFormat="1" ht="17.25" customHeight="1">
      <c r="A36" s="202" t="s">
        <v>44</v>
      </c>
      <c r="B36" s="45" t="s">
        <v>8</v>
      </c>
      <c r="C36" s="203" t="s">
        <v>53</v>
      </c>
      <c r="D36" s="204"/>
      <c r="E36" s="204"/>
      <c r="F36" s="46" t="s">
        <v>88</v>
      </c>
      <c r="G36" s="92">
        <v>2800</v>
      </c>
      <c r="H36" s="47">
        <v>9.52</v>
      </c>
      <c r="I36" s="14"/>
      <c r="J36" s="31" t="s">
        <v>55</v>
      </c>
      <c r="K36" s="57">
        <f t="shared" ref="K36:K37" si="8">G36*H36</f>
        <v>26656</v>
      </c>
      <c r="L36" s="103">
        <v>5916</v>
      </c>
      <c r="M36" s="111" t="s">
        <v>34</v>
      </c>
      <c r="N36" s="83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s="48" customFormat="1" ht="17.25" customHeight="1">
      <c r="A37" s="191"/>
      <c r="B37" s="45" t="s">
        <v>9</v>
      </c>
      <c r="C37" s="203" t="s">
        <v>53</v>
      </c>
      <c r="D37" s="204"/>
      <c r="E37" s="204"/>
      <c r="F37" s="46"/>
      <c r="G37" s="92"/>
      <c r="H37" s="47">
        <v>9.52</v>
      </c>
      <c r="I37" s="14"/>
      <c r="J37" s="31"/>
      <c r="K37" s="57">
        <f t="shared" si="8"/>
        <v>0</v>
      </c>
      <c r="L37" s="103"/>
      <c r="M37" s="111"/>
      <c r="N37" s="84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</row>
    <row r="38" spans="1:43" s="48" customFormat="1" ht="18" customHeight="1">
      <c r="A38" s="158" t="s">
        <v>45</v>
      </c>
      <c r="B38" s="11" t="s">
        <v>8</v>
      </c>
      <c r="C38" s="197" t="s">
        <v>60</v>
      </c>
      <c r="D38" s="198"/>
      <c r="E38" s="199"/>
      <c r="F38" s="41"/>
      <c r="G38" s="87">
        <v>4000</v>
      </c>
      <c r="H38" s="7">
        <v>114.21</v>
      </c>
      <c r="I38" s="8"/>
      <c r="J38" s="22" t="s">
        <v>67</v>
      </c>
      <c r="K38" s="58">
        <f t="shared" si="0"/>
        <v>456840</v>
      </c>
      <c r="L38" s="124">
        <v>31071</v>
      </c>
      <c r="M38" s="195" t="s">
        <v>34</v>
      </c>
      <c r="N38" s="83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</row>
    <row r="39" spans="1:43" s="48" customFormat="1" ht="15" customHeight="1">
      <c r="A39" s="159"/>
      <c r="B39" s="10" t="s">
        <v>9</v>
      </c>
      <c r="C39" s="196"/>
      <c r="D39" s="115"/>
      <c r="E39" s="115"/>
      <c r="F39" s="24"/>
      <c r="G39" s="87"/>
      <c r="H39" s="7">
        <v>114.21</v>
      </c>
      <c r="I39" s="8"/>
      <c r="J39" s="22"/>
      <c r="K39" s="58">
        <f t="shared" si="0"/>
        <v>0</v>
      </c>
      <c r="L39" s="124"/>
      <c r="M39" s="195"/>
      <c r="N39" s="83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</row>
    <row r="40" spans="1:43" s="48" customFormat="1" ht="15" customHeight="1">
      <c r="A40" s="190" t="s">
        <v>46</v>
      </c>
      <c r="B40" s="12" t="s">
        <v>8</v>
      </c>
      <c r="C40" s="180" t="s">
        <v>35</v>
      </c>
      <c r="D40" s="181"/>
      <c r="E40" s="182"/>
      <c r="F40" s="23"/>
      <c r="G40" s="90"/>
      <c r="H40" s="13">
        <v>104.54</v>
      </c>
      <c r="I40" s="14"/>
      <c r="J40" s="31" t="s">
        <v>67</v>
      </c>
      <c r="K40" s="59">
        <f t="shared" si="0"/>
        <v>0</v>
      </c>
      <c r="L40" s="124">
        <v>45233</v>
      </c>
      <c r="M40" s="195" t="s">
        <v>34</v>
      </c>
      <c r="N40" s="83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</row>
    <row r="41" spans="1:43" s="48" customFormat="1" ht="15" customHeight="1">
      <c r="A41" s="191"/>
      <c r="B41" s="12" t="s">
        <v>9</v>
      </c>
      <c r="C41" s="154"/>
      <c r="D41" s="133"/>
      <c r="E41" s="134"/>
      <c r="F41" s="23"/>
      <c r="G41" s="90"/>
      <c r="H41" s="13">
        <v>104.54</v>
      </c>
      <c r="I41" s="14"/>
      <c r="J41" s="31"/>
      <c r="K41" s="59">
        <f t="shared" si="0"/>
        <v>0</v>
      </c>
      <c r="L41" s="124"/>
      <c r="M41" s="195"/>
      <c r="N41" s="83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</row>
    <row r="42" spans="1:43" s="48" customFormat="1" ht="18" customHeight="1">
      <c r="A42" s="158" t="s">
        <v>47</v>
      </c>
      <c r="B42" s="10" t="s">
        <v>8</v>
      </c>
      <c r="C42" s="125" t="s">
        <v>68</v>
      </c>
      <c r="D42" s="126"/>
      <c r="E42" s="127"/>
      <c r="F42" s="24"/>
      <c r="G42" s="87"/>
      <c r="H42" s="7">
        <v>4.96</v>
      </c>
      <c r="I42" s="8"/>
      <c r="J42" s="22" t="s">
        <v>67</v>
      </c>
      <c r="K42" s="58">
        <f t="shared" si="0"/>
        <v>0</v>
      </c>
      <c r="L42" s="124">
        <v>1223</v>
      </c>
      <c r="M42" s="195" t="s">
        <v>34</v>
      </c>
      <c r="N42" s="83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</row>
    <row r="43" spans="1:43" s="48" customFormat="1" ht="15" customHeight="1">
      <c r="A43" s="159"/>
      <c r="B43" s="10" t="s">
        <v>9</v>
      </c>
      <c r="C43" s="125"/>
      <c r="D43" s="126"/>
      <c r="E43" s="127"/>
      <c r="F43" s="24"/>
      <c r="G43" s="87"/>
      <c r="H43" s="7">
        <v>4.96</v>
      </c>
      <c r="I43" s="8"/>
      <c r="J43" s="22"/>
      <c r="K43" s="58">
        <f t="shared" si="0"/>
        <v>0</v>
      </c>
      <c r="L43" s="124"/>
      <c r="M43" s="195"/>
      <c r="N43" s="8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</row>
    <row r="44" spans="1:43" s="48" customFormat="1" ht="15" customHeight="1">
      <c r="A44" s="202" t="s">
        <v>48</v>
      </c>
      <c r="B44" s="49" t="s">
        <v>8</v>
      </c>
      <c r="C44" s="132" t="s">
        <v>66</v>
      </c>
      <c r="D44" s="133"/>
      <c r="E44" s="134"/>
      <c r="F44" s="50"/>
      <c r="G44" s="92"/>
      <c r="H44" s="47">
        <v>8.5</v>
      </c>
      <c r="I44" s="14"/>
      <c r="J44" s="31" t="s">
        <v>67</v>
      </c>
      <c r="K44" s="57">
        <f t="shared" si="0"/>
        <v>0</v>
      </c>
      <c r="L44" s="124">
        <v>2090</v>
      </c>
      <c r="M44" s="195" t="s">
        <v>34</v>
      </c>
      <c r="N44" s="83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</row>
    <row r="45" spans="1:43" s="48" customFormat="1" ht="15" customHeight="1">
      <c r="A45" s="191"/>
      <c r="B45" s="49" t="s">
        <v>9</v>
      </c>
      <c r="C45" s="132"/>
      <c r="D45" s="133"/>
      <c r="E45" s="134"/>
      <c r="F45" s="50"/>
      <c r="G45" s="92"/>
      <c r="H45" s="47">
        <v>8.5</v>
      </c>
      <c r="I45" s="14"/>
      <c r="J45" s="31"/>
      <c r="K45" s="57">
        <f t="shared" si="0"/>
        <v>0</v>
      </c>
      <c r="L45" s="124"/>
      <c r="M45" s="195"/>
      <c r="N45" s="83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</row>
    <row r="46" spans="1:43" s="48" customFormat="1" ht="18" customHeight="1">
      <c r="A46" s="183" t="s">
        <v>49</v>
      </c>
      <c r="B46" s="15" t="s">
        <v>8</v>
      </c>
      <c r="C46" s="128" t="s">
        <v>37</v>
      </c>
      <c r="D46" s="129"/>
      <c r="E46" s="130"/>
      <c r="F46" s="25"/>
      <c r="G46" s="91">
        <v>19600</v>
      </c>
      <c r="H46" s="9">
        <v>17.61</v>
      </c>
      <c r="I46" s="16"/>
      <c r="J46" s="72" t="s">
        <v>67</v>
      </c>
      <c r="K46" s="60">
        <f t="shared" si="0"/>
        <v>345156</v>
      </c>
      <c r="L46" s="124">
        <v>8909</v>
      </c>
      <c r="M46" s="195" t="s">
        <v>34</v>
      </c>
      <c r="N46" s="83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</row>
    <row r="47" spans="1:43" s="48" customFormat="1" ht="18" customHeight="1">
      <c r="A47" s="184"/>
      <c r="B47" s="15" t="s">
        <v>9</v>
      </c>
      <c r="C47" s="131"/>
      <c r="D47" s="129"/>
      <c r="E47" s="130"/>
      <c r="F47" s="25"/>
      <c r="G47" s="91"/>
      <c r="H47" s="9">
        <v>17.61</v>
      </c>
      <c r="I47" s="16"/>
      <c r="J47" s="72"/>
      <c r="K47" s="60">
        <f t="shared" si="0"/>
        <v>0</v>
      </c>
      <c r="L47" s="124"/>
      <c r="M47" s="195"/>
      <c r="N47" s="83"/>
      <c r="O4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</row>
    <row r="48" spans="1:43" s="48" customFormat="1" ht="37.5" customHeight="1">
      <c r="A48" s="190" t="s">
        <v>50</v>
      </c>
      <c r="B48" s="12" t="s">
        <v>8</v>
      </c>
      <c r="C48" s="105" t="s">
        <v>72</v>
      </c>
      <c r="D48" s="106"/>
      <c r="E48" s="107"/>
      <c r="F48" s="23"/>
      <c r="G48" s="90"/>
      <c r="H48" s="13">
        <v>676.37</v>
      </c>
      <c r="I48" s="14"/>
      <c r="J48" s="73"/>
      <c r="K48" s="61">
        <f t="shared" si="0"/>
        <v>0</v>
      </c>
      <c r="L48" s="66"/>
      <c r="M48" s="67" t="s">
        <v>34</v>
      </c>
      <c r="N48" s="83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</row>
    <row r="49" spans="1:43" s="48" customFormat="1" ht="21" customHeight="1">
      <c r="A49" s="191"/>
      <c r="B49" s="12" t="s">
        <v>9</v>
      </c>
      <c r="C49" s="154"/>
      <c r="D49" s="133"/>
      <c r="E49" s="134"/>
      <c r="F49" s="23"/>
      <c r="G49" s="90"/>
      <c r="H49" s="13"/>
      <c r="I49" s="14"/>
      <c r="J49" s="31"/>
      <c r="K49" s="59">
        <f t="shared" si="0"/>
        <v>0</v>
      </c>
      <c r="L49" s="65"/>
      <c r="M49" s="65"/>
      <c r="N49" s="83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</row>
    <row r="50" spans="1:43" s="48" customFormat="1" ht="19.5" customHeight="1">
      <c r="A50" s="209" t="s">
        <v>26</v>
      </c>
      <c r="B50" s="17" t="s">
        <v>27</v>
      </c>
      <c r="C50" s="187" t="s">
        <v>59</v>
      </c>
      <c r="D50" s="188"/>
      <c r="E50" s="189"/>
      <c r="F50" s="26"/>
      <c r="G50" s="93">
        <v>2630</v>
      </c>
      <c r="H50" s="96">
        <v>165</v>
      </c>
      <c r="I50" s="8"/>
      <c r="J50" s="143" t="s">
        <v>36</v>
      </c>
      <c r="K50" s="63">
        <f t="shared" si="0"/>
        <v>433950</v>
      </c>
      <c r="L50" s="66">
        <v>4088</v>
      </c>
      <c r="M50" s="67" t="s">
        <v>34</v>
      </c>
      <c r="N50" s="83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</row>
    <row r="51" spans="1:43" s="48" customFormat="1" ht="16.5" customHeight="1">
      <c r="A51" s="209"/>
      <c r="B51" s="17" t="s">
        <v>28</v>
      </c>
      <c r="C51" s="155" t="s">
        <v>29</v>
      </c>
      <c r="D51" s="156"/>
      <c r="E51" s="157"/>
      <c r="F51" s="26"/>
      <c r="G51" s="93"/>
      <c r="H51" s="96">
        <v>244</v>
      </c>
      <c r="I51" s="8"/>
      <c r="J51" s="144"/>
      <c r="K51" s="63">
        <f t="shared" si="0"/>
        <v>0</v>
      </c>
      <c r="L51" s="66"/>
      <c r="M51" s="67" t="s">
        <v>34</v>
      </c>
      <c r="N51" s="83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</row>
    <row r="52" spans="1:43" s="48" customFormat="1" ht="18" customHeight="1">
      <c r="A52" s="192" t="s">
        <v>39</v>
      </c>
      <c r="B52" s="138" t="s">
        <v>8</v>
      </c>
      <c r="C52" s="140"/>
      <c r="D52" s="141"/>
      <c r="E52" s="142"/>
      <c r="F52" s="30"/>
      <c r="G52" s="94"/>
      <c r="H52" s="31"/>
      <c r="I52" s="14"/>
      <c r="J52" s="73"/>
      <c r="K52" s="64">
        <f t="shared" si="0"/>
        <v>0</v>
      </c>
      <c r="L52" s="66"/>
      <c r="M52" s="67"/>
      <c r="N52" s="83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</row>
    <row r="53" spans="1:43" s="48" customFormat="1" ht="18" customHeight="1">
      <c r="A53" s="193"/>
      <c r="B53" s="139"/>
      <c r="C53" s="140"/>
      <c r="D53" s="141"/>
      <c r="E53" s="142"/>
      <c r="F53" s="30"/>
      <c r="G53" s="86"/>
      <c r="H53" s="31"/>
      <c r="I53" s="14"/>
      <c r="J53" s="73"/>
      <c r="K53" s="32">
        <f t="shared" si="0"/>
        <v>0</v>
      </c>
      <c r="L53"/>
      <c r="M53"/>
      <c r="N53" s="84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</row>
    <row r="54" spans="1:43" s="48" customFormat="1" ht="18" customHeight="1">
      <c r="A54" s="193"/>
      <c r="B54" s="138" t="s">
        <v>9</v>
      </c>
      <c r="C54" s="140"/>
      <c r="D54" s="141"/>
      <c r="E54" s="142"/>
      <c r="F54" s="38"/>
      <c r="G54" s="86"/>
      <c r="H54" s="31"/>
      <c r="I54" s="14"/>
      <c r="J54" s="73"/>
      <c r="K54" s="32">
        <f t="shared" si="0"/>
        <v>0</v>
      </c>
      <c r="L54"/>
      <c r="M54"/>
      <c r="N54" s="83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</row>
    <row r="55" spans="1:43" s="48" customFormat="1" ht="18" customHeight="1">
      <c r="A55" s="194"/>
      <c r="B55" s="139"/>
      <c r="C55" s="140"/>
      <c r="D55" s="141"/>
      <c r="E55" s="142"/>
      <c r="F55" s="30"/>
      <c r="G55" s="86"/>
      <c r="H55" s="31"/>
      <c r="I55" s="14"/>
      <c r="J55" s="73"/>
      <c r="K55" s="32">
        <f t="shared" si="0"/>
        <v>0</v>
      </c>
      <c r="L55"/>
      <c r="M55"/>
      <c r="N55" s="83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</row>
    <row r="56" spans="1:43" s="48" customFormat="1" ht="65.25" customHeight="1">
      <c r="A56" s="162" t="s">
        <v>20</v>
      </c>
      <c r="B56" s="54" t="s">
        <v>8</v>
      </c>
      <c r="C56" s="145" t="s">
        <v>82</v>
      </c>
      <c r="D56" s="146"/>
      <c r="E56" s="146"/>
      <c r="F56" s="146"/>
      <c r="G56" s="146"/>
      <c r="H56" s="146"/>
      <c r="I56" s="147"/>
      <c r="J56" s="85" t="s">
        <v>79</v>
      </c>
      <c r="K56" s="18"/>
      <c r="L56"/>
      <c r="M56"/>
      <c r="N56" s="83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</row>
    <row r="57" spans="1:43" s="48" customFormat="1" ht="80.25" customHeight="1" thickBot="1">
      <c r="A57" s="163"/>
      <c r="B57" s="55" t="s">
        <v>9</v>
      </c>
      <c r="C57" s="145" t="s">
        <v>83</v>
      </c>
      <c r="D57" s="146"/>
      <c r="E57" s="146"/>
      <c r="F57" s="146"/>
      <c r="G57" s="146"/>
      <c r="H57" s="146"/>
      <c r="I57" s="147"/>
      <c r="J57" s="95" t="s">
        <v>70</v>
      </c>
      <c r="K57" s="18"/>
      <c r="L57"/>
      <c r="M57"/>
      <c r="N57" s="83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</row>
    <row r="58" spans="1:43" s="48" customFormat="1" ht="24.95" customHeight="1" thickBot="1">
      <c r="A58" s="185" t="s">
        <v>21</v>
      </c>
      <c r="B58" s="39" t="s">
        <v>8</v>
      </c>
      <c r="C58" s="135"/>
      <c r="D58" s="136"/>
      <c r="E58" s="136"/>
      <c r="F58" s="136"/>
      <c r="G58" s="136"/>
      <c r="H58" s="136"/>
      <c r="I58" s="137"/>
      <c r="J58" s="74" t="s">
        <v>30</v>
      </c>
      <c r="K58" s="21"/>
      <c r="L58"/>
      <c r="M58"/>
      <c r="N58" s="83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</row>
    <row r="59" spans="1:43" s="48" customFormat="1" ht="24.95" customHeight="1" thickBot="1">
      <c r="A59" s="186"/>
      <c r="B59" s="33" t="s">
        <v>9</v>
      </c>
      <c r="C59" s="135"/>
      <c r="D59" s="136"/>
      <c r="E59" s="136"/>
      <c r="F59" s="136"/>
      <c r="G59" s="136"/>
      <c r="H59" s="136"/>
      <c r="I59" s="137"/>
      <c r="J59" s="74" t="s">
        <v>73</v>
      </c>
      <c r="K59" s="21"/>
      <c r="L59"/>
      <c r="M59"/>
      <c r="N59" s="83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</row>
    <row r="60" spans="1:43" s="48" customFormat="1" ht="21" customHeight="1" thickBot="1">
      <c r="A60" s="178" t="s">
        <v>22</v>
      </c>
      <c r="B60" s="19" t="s">
        <v>8</v>
      </c>
      <c r="C60" s="151"/>
      <c r="D60" s="152"/>
      <c r="E60" s="152"/>
      <c r="F60" s="152"/>
      <c r="G60" s="152"/>
      <c r="H60" s="152"/>
      <c r="I60" s="153"/>
      <c r="J60" s="75" t="s">
        <v>30</v>
      </c>
      <c r="K60" s="34"/>
      <c r="L60"/>
      <c r="M60"/>
      <c r="N60" s="83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</row>
    <row r="61" spans="1:43" s="48" customFormat="1" ht="19.5" customHeight="1" thickBot="1">
      <c r="A61" s="179"/>
      <c r="B61" s="20" t="s">
        <v>9</v>
      </c>
      <c r="C61" s="151"/>
      <c r="D61" s="152"/>
      <c r="E61" s="152"/>
      <c r="F61" s="152"/>
      <c r="G61" s="152"/>
      <c r="H61" s="152"/>
      <c r="I61" s="153"/>
      <c r="J61" s="75" t="s">
        <v>73</v>
      </c>
      <c r="K61" s="34"/>
      <c r="L61"/>
      <c r="M61"/>
      <c r="N61" s="83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</row>
    <row r="62" spans="1:43" s="48" customFormat="1" ht="39.75" customHeight="1" thickBot="1">
      <c r="A62" s="35" t="s">
        <v>24</v>
      </c>
      <c r="B62" s="36"/>
      <c r="C62" s="148" t="s">
        <v>31</v>
      </c>
      <c r="D62" s="149"/>
      <c r="E62" s="149"/>
      <c r="F62" s="149"/>
      <c r="G62" s="149"/>
      <c r="H62" s="149"/>
      <c r="I62" s="150"/>
      <c r="J62" s="76" t="s">
        <v>80</v>
      </c>
      <c r="K62" s="37"/>
      <c r="L62"/>
      <c r="M62"/>
      <c r="N62" s="83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</row>
    <row r="63" spans="1:43" s="48" customFormat="1" ht="30" customHeight="1" thickBot="1">
      <c r="A63" s="173"/>
      <c r="B63" s="174"/>
      <c r="C63" s="174"/>
      <c r="D63" s="174"/>
      <c r="E63" s="174"/>
      <c r="F63" s="174"/>
      <c r="G63" s="174"/>
      <c r="H63" s="174"/>
      <c r="I63" s="175"/>
      <c r="J63" s="77" t="s">
        <v>33</v>
      </c>
      <c r="K63" s="51">
        <f>K6+K7+ŞAKİR+K9+K10+K11+K12+K13+K14+K15+K16+K17+K18+K19+K20+K21+K22+K23+K24+K25+K26+K27+K28+K29+K30+K31+K32+K33+K34+K35+K36+K37+K38+K39+K40+K41+K42+K43+K44+K45+K46+K47+K48+K49+K50+K51</f>
        <v>11979492</v>
      </c>
      <c r="L63"/>
      <c r="M63"/>
      <c r="N63" s="8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</row>
    <row r="64" spans="1:43" s="48" customFormat="1" ht="32.25" customHeight="1" thickBot="1">
      <c r="A64" s="82" t="s">
        <v>23</v>
      </c>
      <c r="B64" s="122" t="s">
        <v>84</v>
      </c>
      <c r="C64" s="122"/>
      <c r="D64" s="122"/>
      <c r="E64" s="122"/>
      <c r="F64" s="122"/>
      <c r="G64" s="122"/>
      <c r="H64" s="122"/>
      <c r="I64" s="122"/>
      <c r="J64" s="122"/>
      <c r="K64" s="123"/>
      <c r="L64"/>
      <c r="M64"/>
      <c r="N64" s="83"/>
      <c r="O64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</row>
    <row r="65" spans="12:13">
      <c r="L65"/>
      <c r="M65"/>
    </row>
    <row r="66" spans="12:13">
      <c r="L66"/>
      <c r="M66"/>
    </row>
    <row r="67" spans="12:13">
      <c r="L67"/>
      <c r="M67"/>
    </row>
  </sheetData>
  <mergeCells count="142">
    <mergeCell ref="L26:L27"/>
    <mergeCell ref="M26:M27"/>
    <mergeCell ref="L28:L29"/>
    <mergeCell ref="M28:M29"/>
    <mergeCell ref="A26:A27"/>
    <mergeCell ref="A28:A29"/>
    <mergeCell ref="C22:E22"/>
    <mergeCell ref="C23:E23"/>
    <mergeCell ref="C26:E26"/>
    <mergeCell ref="C27:E27"/>
    <mergeCell ref="C28:E28"/>
    <mergeCell ref="C29:E29"/>
    <mergeCell ref="A24:A25"/>
    <mergeCell ref="C24:E24"/>
    <mergeCell ref="A22:A23"/>
    <mergeCell ref="L1:M5"/>
    <mergeCell ref="A20:A21"/>
    <mergeCell ref="C20:E20"/>
    <mergeCell ref="L20:L21"/>
    <mergeCell ref="M20:M21"/>
    <mergeCell ref="C21:E21"/>
    <mergeCell ref="M30:M31"/>
    <mergeCell ref="C7:E7"/>
    <mergeCell ref="C13:E13"/>
    <mergeCell ref="C14:E14"/>
    <mergeCell ref="A1:J2"/>
    <mergeCell ref="A3:A5"/>
    <mergeCell ref="B3:B5"/>
    <mergeCell ref="C3:E5"/>
    <mergeCell ref="G3:H3"/>
    <mergeCell ref="I3:I5"/>
    <mergeCell ref="C25:E25"/>
    <mergeCell ref="A18:A19"/>
    <mergeCell ref="C18:E18"/>
    <mergeCell ref="C19:E19"/>
    <mergeCell ref="L18:L19"/>
    <mergeCell ref="K3:K5"/>
    <mergeCell ref="A12:A13"/>
    <mergeCell ref="A14:A15"/>
    <mergeCell ref="L46:L47"/>
    <mergeCell ref="M46:M47"/>
    <mergeCell ref="A48:A49"/>
    <mergeCell ref="A50:A51"/>
    <mergeCell ref="L42:L43"/>
    <mergeCell ref="M44:M45"/>
    <mergeCell ref="M42:M43"/>
    <mergeCell ref="L44:L45"/>
    <mergeCell ref="A44:A45"/>
    <mergeCell ref="L38:L39"/>
    <mergeCell ref="M38:M39"/>
    <mergeCell ref="M40:M41"/>
    <mergeCell ref="C39:E39"/>
    <mergeCell ref="C38:E38"/>
    <mergeCell ref="A32:A33"/>
    <mergeCell ref="L30:L31"/>
    <mergeCell ref="A36:A37"/>
    <mergeCell ref="C36:E36"/>
    <mergeCell ref="L36:L37"/>
    <mergeCell ref="M36:M37"/>
    <mergeCell ref="C37:E37"/>
    <mergeCell ref="A34:A35"/>
    <mergeCell ref="C30:E30"/>
    <mergeCell ref="C31:E31"/>
    <mergeCell ref="C32:E32"/>
    <mergeCell ref="C33:E33"/>
    <mergeCell ref="A30:A31"/>
    <mergeCell ref="L32:L33"/>
    <mergeCell ref="M32:M33"/>
    <mergeCell ref="L34:L35"/>
    <mergeCell ref="M34:M35"/>
    <mergeCell ref="A63:I63"/>
    <mergeCell ref="A38:A39"/>
    <mergeCell ref="A16:A17"/>
    <mergeCell ref="C16:E16"/>
    <mergeCell ref="C17:E17"/>
    <mergeCell ref="A60:A61"/>
    <mergeCell ref="C61:I61"/>
    <mergeCell ref="A42:A43"/>
    <mergeCell ref="C40:E40"/>
    <mergeCell ref="C41:E41"/>
    <mergeCell ref="A46:A47"/>
    <mergeCell ref="A58:A59"/>
    <mergeCell ref="C50:E50"/>
    <mergeCell ref="A40:A41"/>
    <mergeCell ref="A52:A55"/>
    <mergeCell ref="A6:A7"/>
    <mergeCell ref="A8:A9"/>
    <mergeCell ref="A10:A11"/>
    <mergeCell ref="C6:E6"/>
    <mergeCell ref="A56:A57"/>
    <mergeCell ref="J3:J5"/>
    <mergeCell ref="G4:G5"/>
    <mergeCell ref="H4:H5"/>
    <mergeCell ref="C34:E34"/>
    <mergeCell ref="C35:E35"/>
    <mergeCell ref="B64:K64"/>
    <mergeCell ref="L40:L41"/>
    <mergeCell ref="C43:E43"/>
    <mergeCell ref="C46:E46"/>
    <mergeCell ref="C47:E47"/>
    <mergeCell ref="C48:E48"/>
    <mergeCell ref="C44:E44"/>
    <mergeCell ref="C45:E45"/>
    <mergeCell ref="C59:I59"/>
    <mergeCell ref="B54:B55"/>
    <mergeCell ref="C54:E54"/>
    <mergeCell ref="C55:E55"/>
    <mergeCell ref="C58:I58"/>
    <mergeCell ref="J50:J51"/>
    <mergeCell ref="C57:I57"/>
    <mergeCell ref="B52:B53"/>
    <mergeCell ref="C62:I62"/>
    <mergeCell ref="C60:I60"/>
    <mergeCell ref="C49:E49"/>
    <mergeCell ref="C52:E52"/>
    <mergeCell ref="C53:E53"/>
    <mergeCell ref="C51:E51"/>
    <mergeCell ref="C42:E42"/>
    <mergeCell ref="C56:I56"/>
    <mergeCell ref="M18:M19"/>
    <mergeCell ref="L24:L25"/>
    <mergeCell ref="M24:M25"/>
    <mergeCell ref="L6:L7"/>
    <mergeCell ref="M6:M7"/>
    <mergeCell ref="C8:E8"/>
    <mergeCell ref="C9:E9"/>
    <mergeCell ref="C10:E10"/>
    <mergeCell ref="M8:M9"/>
    <mergeCell ref="L8:L9"/>
    <mergeCell ref="M16:M17"/>
    <mergeCell ref="L16:L17"/>
    <mergeCell ref="M14:M15"/>
    <mergeCell ref="L14:L15"/>
    <mergeCell ref="C11:E11"/>
    <mergeCell ref="M12:M13"/>
    <mergeCell ref="L12:L13"/>
    <mergeCell ref="L10:L11"/>
    <mergeCell ref="M10:M11"/>
    <mergeCell ref="C15:E15"/>
    <mergeCell ref="C12:E12"/>
    <mergeCell ref="M22:M23"/>
    <mergeCell ref="L22:L23"/>
  </mergeCells>
  <pageMargins left="0.7" right="0.42" top="0.36" bottom="0.27" header="0.21" footer="0.1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ŞAKİR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BAŞ ZİNCİR</dc:title>
  <dc:creator/>
  <cp:lastModifiedBy/>
  <dcterms:created xsi:type="dcterms:W3CDTF">2006-09-16T00:00:00Z</dcterms:created>
  <dcterms:modified xsi:type="dcterms:W3CDTF">2026-08-06T06:15:16Z</dcterms:modified>
</cp:coreProperties>
</file>